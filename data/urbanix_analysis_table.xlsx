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<sst xmlns="http://schemas.openxmlformats.org/spreadsheetml/2006/main" count="783" uniqueCount="350">
  <si>
    <t xml:space="preserve">SKU</t>
  </si>
  <si>
    <t xml:space="preserve">Product Name</t>
  </si>
  <si>
    <t xml:space="preserve">Category</t>
  </si>
  <si>
    <t xml:space="preserve">Total Units Sold (6mo)</t>
  </si>
  <si>
    <t xml:space="preserve">Avg Monthly Sales</t>
  </si>
  <si>
    <t xml:space="preserve">Revenue (NGN)</t>
  </si>
  <si>
    <t xml:space="preserve">COGS (NGN)</t>
  </si>
  <si>
    <t xml:space="preserve">Gross Profit (NGN)</t>
  </si>
  <si>
    <t xml:space="preserve">Stock on Hand</t>
  </si>
  <si>
    <t xml:space="preserve">Reorder Level</t>
  </si>
  <si>
    <t xml:space="preserve">Inventory Turnover Ratio</t>
  </si>
  <si>
    <t xml:space="preserve">Months of Stock Remaining</t>
  </si>
  <si>
    <t xml:space="preserve">Stock Status</t>
  </si>
  <si>
    <t xml:space="preserve">Revenue % of Total</t>
  </si>
  <si>
    <t xml:space="preserve">Cumulative Revenue %</t>
  </si>
  <si>
    <t xml:space="preserve">ABC Class</t>
  </si>
  <si>
    <t xml:space="preserve">Dead Stock Flag</t>
  </si>
  <si>
    <t xml:space="preserve">Brand</t>
  </si>
  <si>
    <t xml:space="preserve">Supplier</t>
  </si>
  <si>
    <t xml:space="preserve">Cost Price (NGN)</t>
  </si>
  <si>
    <t xml:space="preserve">Selling Price (NGN)</t>
  </si>
  <si>
    <t xml:space="preserve">Stock on Hand (units)</t>
  </si>
  <si>
    <t xml:space="preserve">Reorder Level (units)</t>
  </si>
  <si>
    <t xml:space="preserve">Lead Time (days)</t>
  </si>
  <si>
    <t xml:space="preserve">Sales M1</t>
  </si>
  <si>
    <t xml:space="preserve">Sales M2</t>
  </si>
  <si>
    <t xml:space="preserve">Sales M3</t>
  </si>
  <si>
    <t xml:space="preserve">Sales M4</t>
  </si>
  <si>
    <t xml:space="preserve">Sales M5</t>
  </si>
  <si>
    <t xml:space="preserve">Sales M6</t>
  </si>
  <si>
    <t xml:space="preserve">SKU-1001</t>
  </si>
  <si>
    <t xml:space="preserve">Lagoona Sneakers A1</t>
  </si>
  <si>
    <t xml:space="preserve">Footwear</t>
  </si>
  <si>
    <t xml:space="preserve">Lagoona</t>
  </si>
  <si>
    <t xml:space="preserve">Naija Trade Co</t>
  </si>
  <si>
    <t xml:space="preserve">SKU-1003</t>
  </si>
  <si>
    <t xml:space="preserve">Primecraft Sneakers F3</t>
  </si>
  <si>
    <t xml:space="preserve">Primecraft</t>
  </si>
  <si>
    <t xml:space="preserve">Greenline Supplies</t>
  </si>
  <si>
    <t xml:space="preserve">SKU-1004</t>
  </si>
  <si>
    <t xml:space="preserve">Tide Sneakers F4</t>
  </si>
  <si>
    <t xml:space="preserve">Tide</t>
  </si>
  <si>
    <t xml:space="preserve">Apex Distributors</t>
  </si>
  <si>
    <t xml:space="preserve">SKU-1005</t>
  </si>
  <si>
    <t xml:space="preserve">Coastline Sneakers F5</t>
  </si>
  <si>
    <t xml:space="preserve">Coastline</t>
  </si>
  <si>
    <t xml:space="preserve">SKU-1006</t>
  </si>
  <si>
    <t xml:space="preserve">Primecraft Sneakers C6</t>
  </si>
  <si>
    <t xml:space="preserve">Lagos Wholesale Hub</t>
  </si>
  <si>
    <t xml:space="preserve">SKU-1010</t>
  </si>
  <si>
    <t xml:space="preserve">Zenith Sneakers F10</t>
  </si>
  <si>
    <t xml:space="preserve">Zenith</t>
  </si>
  <si>
    <t xml:space="preserve">SKU-1011</t>
  </si>
  <si>
    <t xml:space="preserve">Primecraft Sandals C1</t>
  </si>
  <si>
    <t xml:space="preserve">Coastal Imports</t>
  </si>
  <si>
    <t xml:space="preserve">SKU-1013</t>
  </si>
  <si>
    <t xml:space="preserve">Nova Sandals H3</t>
  </si>
  <si>
    <t xml:space="preserve">Nova</t>
  </si>
  <si>
    <t xml:space="preserve">SKU-1014</t>
  </si>
  <si>
    <t xml:space="preserve">Bravo Sandals H4</t>
  </si>
  <si>
    <t xml:space="preserve">Bravo</t>
  </si>
  <si>
    <t xml:space="preserve">SKU-1015</t>
  </si>
  <si>
    <t xml:space="preserve">Bravo Sandals D5</t>
  </si>
  <si>
    <t xml:space="preserve">SKU-1016</t>
  </si>
  <si>
    <t xml:space="preserve">Coastline Sandals G6</t>
  </si>
  <si>
    <t xml:space="preserve">SKU-1017</t>
  </si>
  <si>
    <t xml:space="preserve">Mela Sandals C7</t>
  </si>
  <si>
    <t xml:space="preserve">Mela</t>
  </si>
  <si>
    <t xml:space="preserve">SKU-1019</t>
  </si>
  <si>
    <t xml:space="preserve">Nova Sandals D9</t>
  </si>
  <si>
    <t xml:space="preserve">SKU-1020</t>
  </si>
  <si>
    <t xml:space="preserve">Lagoona Sandals C10</t>
  </si>
  <si>
    <t xml:space="preserve">SKU-1022</t>
  </si>
  <si>
    <t xml:space="preserve">Lagoona Boots B2</t>
  </si>
  <si>
    <t xml:space="preserve">SKU-1028</t>
  </si>
  <si>
    <t xml:space="preserve">Urbanix Boots C8</t>
  </si>
  <si>
    <t xml:space="preserve">Urbanix</t>
  </si>
  <si>
    <t xml:space="preserve">SKU-1030</t>
  </si>
  <si>
    <t xml:space="preserve">Zenith Boots F10</t>
  </si>
  <si>
    <t xml:space="preserve">SKU-1031</t>
  </si>
  <si>
    <t xml:space="preserve">Tide Loafers E1</t>
  </si>
  <si>
    <t xml:space="preserve">SKU-1033</t>
  </si>
  <si>
    <t xml:space="preserve">Zenith Loafers G3</t>
  </si>
  <si>
    <t xml:space="preserve">SKU-1034</t>
  </si>
  <si>
    <t xml:space="preserve">Zenith Loafers E4</t>
  </si>
  <si>
    <t xml:space="preserve">SKU-1035</t>
  </si>
  <si>
    <t xml:space="preserve">Bravo Loafers J5</t>
  </si>
  <si>
    <t xml:space="preserve">SKU-1037</t>
  </si>
  <si>
    <t xml:space="preserve">Mela Loafers A7</t>
  </si>
  <si>
    <t xml:space="preserve">SKU-1038</t>
  </si>
  <si>
    <t xml:space="preserve">Drift Loafers I8</t>
  </si>
  <si>
    <t xml:space="preserve">Drift</t>
  </si>
  <si>
    <t xml:space="preserve">SKU-1039</t>
  </si>
  <si>
    <t xml:space="preserve">Zenith Flip Flops D1</t>
  </si>
  <si>
    <t xml:space="preserve">SKU-1042</t>
  </si>
  <si>
    <t xml:space="preserve">Bravo Flip Flops A4</t>
  </si>
  <si>
    <t xml:space="preserve">SKU-1043</t>
  </si>
  <si>
    <t xml:space="preserve">Drift Flip Flops E5</t>
  </si>
  <si>
    <t xml:space="preserve">SKU-1044</t>
  </si>
  <si>
    <t xml:space="preserve">Primecraft Flip Flops A6</t>
  </si>
  <si>
    <t xml:space="preserve">SKU-1045</t>
  </si>
  <si>
    <t xml:space="preserve">Lagoona Flip Flops J7</t>
  </si>
  <si>
    <t xml:space="preserve">SKU-1046</t>
  </si>
  <si>
    <t xml:space="preserve">Lagoona Flip Flops J8</t>
  </si>
  <si>
    <t xml:space="preserve">SKU-1047</t>
  </si>
  <si>
    <t xml:space="preserve">Nova T-Shirt I1</t>
  </si>
  <si>
    <t xml:space="preserve">Apparel</t>
  </si>
  <si>
    <t xml:space="preserve">SKU-1048</t>
  </si>
  <si>
    <t xml:space="preserve">Primecraft T-Shirt H2</t>
  </si>
  <si>
    <t xml:space="preserve">SKU-1049</t>
  </si>
  <si>
    <t xml:space="preserve">Urbanix T-Shirt I3</t>
  </si>
  <si>
    <t xml:space="preserve">SKU-1052</t>
  </si>
  <si>
    <t xml:space="preserve">Zenith T-Shirt D6</t>
  </si>
  <si>
    <t xml:space="preserve">SKU-1053</t>
  </si>
  <si>
    <t xml:space="preserve">Tide T-Shirt E7</t>
  </si>
  <si>
    <t xml:space="preserve">SKU-1054</t>
  </si>
  <si>
    <t xml:space="preserve">Nova T-Shirt J8</t>
  </si>
  <si>
    <t xml:space="preserve">SKU-1055</t>
  </si>
  <si>
    <t xml:space="preserve">Drift T-Shirt E9</t>
  </si>
  <si>
    <t xml:space="preserve">SKU-1061</t>
  </si>
  <si>
    <t xml:space="preserve">Zenith Jeans G6</t>
  </si>
  <si>
    <t xml:space="preserve">SKU-1062</t>
  </si>
  <si>
    <t xml:space="preserve">Urbanix Jeans D7</t>
  </si>
  <si>
    <t xml:space="preserve">SKU-1064</t>
  </si>
  <si>
    <t xml:space="preserve">Bravo Jeans E9</t>
  </si>
  <si>
    <t xml:space="preserve">SKU-1065</t>
  </si>
  <si>
    <t xml:space="preserve">Coastline Jeans I10</t>
  </si>
  <si>
    <t xml:space="preserve">SKU-1066</t>
  </si>
  <si>
    <t xml:space="preserve">Mela Hoodie F1</t>
  </si>
  <si>
    <t xml:space="preserve">SKU-1067</t>
  </si>
  <si>
    <t xml:space="preserve">Mela Hoodie A2</t>
  </si>
  <si>
    <t xml:space="preserve">SKU-1069</t>
  </si>
  <si>
    <t xml:space="preserve">Tide Hoodie B4</t>
  </si>
  <si>
    <t xml:space="preserve">SKU-1070</t>
  </si>
  <si>
    <t xml:space="preserve">Urbanix Hoodie F5</t>
  </si>
  <si>
    <t xml:space="preserve">SKU-1073</t>
  </si>
  <si>
    <t xml:space="preserve">Zenith Hoodie A8</t>
  </si>
  <si>
    <t xml:space="preserve">SKU-1074</t>
  </si>
  <si>
    <t xml:space="preserve">Primecraft Hoodie J9</t>
  </si>
  <si>
    <t xml:space="preserve">SKU-1077</t>
  </si>
  <si>
    <t xml:space="preserve">Drift Jacket A3</t>
  </si>
  <si>
    <t xml:space="preserve">SKU-1078</t>
  </si>
  <si>
    <t xml:space="preserve">Bravo Jacket F4</t>
  </si>
  <si>
    <t xml:space="preserve">SKU-1079</t>
  </si>
  <si>
    <t xml:space="preserve">Lagoona Jacket D5</t>
  </si>
  <si>
    <t xml:space="preserve">SKU-1080</t>
  </si>
  <si>
    <t xml:space="preserve">Tide Jacket G6</t>
  </si>
  <si>
    <t xml:space="preserve">SKU-1081</t>
  </si>
  <si>
    <t xml:space="preserve">Drift Jacket E7</t>
  </si>
  <si>
    <t xml:space="preserve">SKU-1082</t>
  </si>
  <si>
    <t xml:space="preserve">Primecraft Jacket B8</t>
  </si>
  <si>
    <t xml:space="preserve">SKU-1083</t>
  </si>
  <si>
    <t xml:space="preserve">Zenith Jacket C9</t>
  </si>
  <si>
    <t xml:space="preserve">SKU-1084</t>
  </si>
  <si>
    <t xml:space="preserve">Lagoona Jacket H10</t>
  </si>
  <si>
    <t xml:space="preserve">SKU-1085</t>
  </si>
  <si>
    <t xml:space="preserve">Mela Dress G1</t>
  </si>
  <si>
    <t xml:space="preserve">SKU-1086</t>
  </si>
  <si>
    <t xml:space="preserve">Drift Dress J2</t>
  </si>
  <si>
    <t xml:space="preserve">SKU-1090</t>
  </si>
  <si>
    <t xml:space="preserve">Drift Dress I6</t>
  </si>
  <si>
    <t xml:space="preserve">SKU-1091</t>
  </si>
  <si>
    <t xml:space="preserve">Urbanix Dress C7</t>
  </si>
  <si>
    <t xml:space="preserve">SKU-1094</t>
  </si>
  <si>
    <t xml:space="preserve">Primecraft Bluetooth Speaker E2</t>
  </si>
  <si>
    <t xml:space="preserve">Electronics</t>
  </si>
  <si>
    <t xml:space="preserve">SKU-1095</t>
  </si>
  <si>
    <t xml:space="preserve">Coastline Bluetooth Speaker B3</t>
  </si>
  <si>
    <t xml:space="preserve">SKU-1096</t>
  </si>
  <si>
    <t xml:space="preserve">Urbanix Bluetooth Speaker F4</t>
  </si>
  <si>
    <t xml:space="preserve">SKU-1099</t>
  </si>
  <si>
    <t xml:space="preserve">Coastline Bluetooth Speaker F7</t>
  </si>
  <si>
    <t xml:space="preserve">SKU-1100</t>
  </si>
  <si>
    <t xml:space="preserve">Lagoona Bluetooth Speaker B8</t>
  </si>
  <si>
    <t xml:space="preserve">SKU-1101</t>
  </si>
  <si>
    <t xml:space="preserve">Bravo Bluetooth Speaker C9</t>
  </si>
  <si>
    <t xml:space="preserve">SKU-1102</t>
  </si>
  <si>
    <t xml:space="preserve">Nova Phone Case F1</t>
  </si>
  <si>
    <t xml:space="preserve">SKU-1103</t>
  </si>
  <si>
    <t xml:space="preserve">Tide Phone Case C2</t>
  </si>
  <si>
    <t xml:space="preserve">SKU-1104</t>
  </si>
  <si>
    <t xml:space="preserve">Coastline Phone Case C3</t>
  </si>
  <si>
    <t xml:space="preserve">SKU-1105</t>
  </si>
  <si>
    <t xml:space="preserve">Mela Phone Case D4</t>
  </si>
  <si>
    <t xml:space="preserve">SKU-1106</t>
  </si>
  <si>
    <t xml:space="preserve">Tide Phone Case G5</t>
  </si>
  <si>
    <t xml:space="preserve">SKU-1107</t>
  </si>
  <si>
    <t xml:space="preserve">Mela Phone Case D6</t>
  </si>
  <si>
    <t xml:space="preserve">SKU-1110</t>
  </si>
  <si>
    <t xml:space="preserve">Coastline Phone Case D9</t>
  </si>
  <si>
    <t xml:space="preserve">SKU-1111</t>
  </si>
  <si>
    <t xml:space="preserve">Mela Phone Case J10</t>
  </si>
  <si>
    <t xml:space="preserve">SKU-1112</t>
  </si>
  <si>
    <t xml:space="preserve">Drift Power Bank J1</t>
  </si>
  <si>
    <t xml:space="preserve">SKU-1113</t>
  </si>
  <si>
    <t xml:space="preserve">Primecraft Power Bank C2</t>
  </si>
  <si>
    <t xml:space="preserve">SKU-1114</t>
  </si>
  <si>
    <t xml:space="preserve">Bravo Power Bank A3</t>
  </si>
  <si>
    <t xml:space="preserve">SKU-1116</t>
  </si>
  <si>
    <t xml:space="preserve">Zenith Power Bank D5</t>
  </si>
  <si>
    <t xml:space="preserve">SKU-1117</t>
  </si>
  <si>
    <t xml:space="preserve">Urbanix Power Bank F6</t>
  </si>
  <si>
    <t xml:space="preserve">SKU-1119</t>
  </si>
  <si>
    <t xml:space="preserve">Coastline Power Bank H8</t>
  </si>
  <si>
    <t xml:space="preserve">SKU-1120</t>
  </si>
  <si>
    <t xml:space="preserve">Nova Earbuds J1</t>
  </si>
  <si>
    <t xml:space="preserve">SKU-1121</t>
  </si>
  <si>
    <t xml:space="preserve">Mela Earbuds B2</t>
  </si>
  <si>
    <t xml:space="preserve">SKU-1122</t>
  </si>
  <si>
    <t xml:space="preserve">Zenith Earbuds H3</t>
  </si>
  <si>
    <t xml:space="preserve">SKU-1123</t>
  </si>
  <si>
    <t xml:space="preserve">Lagoona Earbuds I4</t>
  </si>
  <si>
    <t xml:space="preserve">SKU-1124</t>
  </si>
  <si>
    <t xml:space="preserve">Mela Earbuds A5</t>
  </si>
  <si>
    <t xml:space="preserve">SKU-1125</t>
  </si>
  <si>
    <t xml:space="preserve">Drift Earbuds J6</t>
  </si>
  <si>
    <t xml:space="preserve">SKU-1126</t>
  </si>
  <si>
    <t xml:space="preserve">Bravo Earbuds A7</t>
  </si>
  <si>
    <t xml:space="preserve">SKU-1127</t>
  </si>
  <si>
    <t xml:space="preserve">Bravo Earbuds E8</t>
  </si>
  <si>
    <t xml:space="preserve">SKU-1128</t>
  </si>
  <si>
    <t xml:space="preserve">Urbanix USB Cable B1</t>
  </si>
  <si>
    <t xml:space="preserve">SKU-1129</t>
  </si>
  <si>
    <t xml:space="preserve">Primecraft USB Cable G2</t>
  </si>
  <si>
    <t xml:space="preserve">SKU-1131</t>
  </si>
  <si>
    <t xml:space="preserve">Coastline USB Cable J4</t>
  </si>
  <si>
    <t xml:space="preserve">SKU-1132</t>
  </si>
  <si>
    <t xml:space="preserve">Tide USB Cable F5</t>
  </si>
  <si>
    <t xml:space="preserve">SKU-1133</t>
  </si>
  <si>
    <t xml:space="preserve">Coastline USB Cable A6</t>
  </si>
  <si>
    <t xml:space="preserve">SKU-1134</t>
  </si>
  <si>
    <t xml:space="preserve">Nova USB Cable B7</t>
  </si>
  <si>
    <t xml:space="preserve">SKU-1135</t>
  </si>
  <si>
    <t xml:space="preserve">Bravo USB Cable H8</t>
  </si>
  <si>
    <t xml:space="preserve">SKU-1136</t>
  </si>
  <si>
    <t xml:space="preserve">Tide Throw Pillow E1</t>
  </si>
  <si>
    <t xml:space="preserve">Home &amp; Living</t>
  </si>
  <si>
    <t xml:space="preserve">SKU-1137</t>
  </si>
  <si>
    <t xml:space="preserve">Tide Throw Pillow J2</t>
  </si>
  <si>
    <t xml:space="preserve">SKU-1139</t>
  </si>
  <si>
    <t xml:space="preserve">Bravo Throw Pillow F4</t>
  </si>
  <si>
    <t xml:space="preserve">SKU-1141</t>
  </si>
  <si>
    <t xml:space="preserve">Coastline Throw Pillow H6</t>
  </si>
  <si>
    <t xml:space="preserve">SKU-1143</t>
  </si>
  <si>
    <t xml:space="preserve">Primecraft Throw Pillow A8</t>
  </si>
  <si>
    <t xml:space="preserve">SKU-1145</t>
  </si>
  <si>
    <t xml:space="preserve">Urbanix Scented Candle G1</t>
  </si>
  <si>
    <t xml:space="preserve">SKU-1146</t>
  </si>
  <si>
    <t xml:space="preserve">Bravo Scented Candle I2</t>
  </si>
  <si>
    <t xml:space="preserve">SKU-1147</t>
  </si>
  <si>
    <t xml:space="preserve">Zenith Scented Candle J3</t>
  </si>
  <si>
    <t xml:space="preserve">SKU-1149</t>
  </si>
  <si>
    <t xml:space="preserve">Zenith Scented Candle C5</t>
  </si>
  <si>
    <t xml:space="preserve">SKU-1150</t>
  </si>
  <si>
    <t xml:space="preserve">Nova Scented Candle H6</t>
  </si>
  <si>
    <t xml:space="preserve">SKU-1153</t>
  </si>
  <si>
    <t xml:space="preserve">Urbanix Wall Clock D1</t>
  </si>
  <si>
    <t xml:space="preserve">SKU-1154</t>
  </si>
  <si>
    <t xml:space="preserve">Drift Wall Clock F2</t>
  </si>
  <si>
    <t xml:space="preserve">SKU-1156</t>
  </si>
  <si>
    <t xml:space="preserve">Coastline Wall Clock C4</t>
  </si>
  <si>
    <t xml:space="preserve">SKU-1157</t>
  </si>
  <si>
    <t xml:space="preserve">Tide Wall Clock A5</t>
  </si>
  <si>
    <t xml:space="preserve">SKU-1158</t>
  </si>
  <si>
    <t xml:space="preserve">Primecraft Wall Clock J6</t>
  </si>
  <si>
    <t xml:space="preserve">SKU-1160</t>
  </si>
  <si>
    <t xml:space="preserve">Primecraft Wall Clock D8</t>
  </si>
  <si>
    <t xml:space="preserve">SKU-1162</t>
  </si>
  <si>
    <t xml:space="preserve">Primecraft Table Lamp F1</t>
  </si>
  <si>
    <t xml:space="preserve">SKU-1163</t>
  </si>
  <si>
    <t xml:space="preserve">Bravo Table Lamp F2</t>
  </si>
  <si>
    <t xml:space="preserve">SKU-1166</t>
  </si>
  <si>
    <t xml:space="preserve">Bravo Table Lamp H5</t>
  </si>
  <si>
    <t xml:space="preserve">SKU-1168</t>
  </si>
  <si>
    <t xml:space="preserve">Urbanix Table Lamp I7</t>
  </si>
  <si>
    <t xml:space="preserve">SKU-1169</t>
  </si>
  <si>
    <t xml:space="preserve">Bravo Table Lamp C8</t>
  </si>
  <si>
    <t xml:space="preserve">SKU-1171</t>
  </si>
  <si>
    <t xml:space="preserve">Primecraft Storage Box J1</t>
  </si>
  <si>
    <t xml:space="preserve">SKU-1172</t>
  </si>
  <si>
    <t xml:space="preserve">Drift Storage Box B2</t>
  </si>
  <si>
    <t xml:space="preserve">SKU-1173</t>
  </si>
  <si>
    <t xml:space="preserve">Urbanix Storage Box B3</t>
  </si>
  <si>
    <t xml:space="preserve">SKU-1175</t>
  </si>
  <si>
    <t xml:space="preserve">Drift Storage Box F5</t>
  </si>
  <si>
    <t xml:space="preserve">SKU-1176</t>
  </si>
  <si>
    <t xml:space="preserve">Nova Storage Box B6</t>
  </si>
  <si>
    <t xml:space="preserve">SKU-1177</t>
  </si>
  <si>
    <t xml:space="preserve">Drift Storage Box G7</t>
  </si>
  <si>
    <t xml:space="preserve">SKU-1178</t>
  </si>
  <si>
    <t xml:space="preserve">Lagoona Storage Box C8</t>
  </si>
  <si>
    <t xml:space="preserve">SKU-1181</t>
  </si>
  <si>
    <t xml:space="preserve">Tide Wallet D3</t>
  </si>
  <si>
    <t xml:space="preserve">Accessories</t>
  </si>
  <si>
    <t xml:space="preserve">SKU-1182</t>
  </si>
  <si>
    <t xml:space="preserve">Mela Wallet C4</t>
  </si>
  <si>
    <t xml:space="preserve">SKU-1183</t>
  </si>
  <si>
    <t xml:space="preserve">Urbanix Wallet F5</t>
  </si>
  <si>
    <t xml:space="preserve">SKU-1185</t>
  </si>
  <si>
    <t xml:space="preserve">Coastline Wallet A7</t>
  </si>
  <si>
    <t xml:space="preserve">SKU-1186</t>
  </si>
  <si>
    <t xml:space="preserve">Zenith Wallet F8</t>
  </si>
  <si>
    <t xml:space="preserve">SKU-1187</t>
  </si>
  <si>
    <t xml:space="preserve">Lagoona Sunglasses C1</t>
  </si>
  <si>
    <t xml:space="preserve">SKU-1191</t>
  </si>
  <si>
    <t xml:space="preserve">Nova Sunglasses H5</t>
  </si>
  <si>
    <t xml:space="preserve">SKU-1192</t>
  </si>
  <si>
    <t xml:space="preserve">Mela Sunglasses C6</t>
  </si>
  <si>
    <t xml:space="preserve">SKU-1193</t>
  </si>
  <si>
    <t xml:space="preserve">Zenith Sunglasses A7</t>
  </si>
  <si>
    <t xml:space="preserve">SKU-1194</t>
  </si>
  <si>
    <t xml:space="preserve">Bravo Sunglasses A8</t>
  </si>
  <si>
    <t xml:space="preserve">SKU-1195</t>
  </si>
  <si>
    <t xml:space="preserve">Mela Sunglasses B9</t>
  </si>
  <si>
    <t xml:space="preserve">SKU-1196</t>
  </si>
  <si>
    <t xml:space="preserve">Tide Sunglasses F10</t>
  </si>
  <si>
    <t xml:space="preserve">SKU-1197</t>
  </si>
  <si>
    <t xml:space="preserve">Zenith Backpack C1</t>
  </si>
  <si>
    <t xml:space="preserve">SKU-1198</t>
  </si>
  <si>
    <t xml:space="preserve">Mela Backpack B2</t>
  </si>
  <si>
    <t xml:space="preserve">SKU-1199</t>
  </si>
  <si>
    <t xml:space="preserve">Coastline Backpack B3</t>
  </si>
  <si>
    <t xml:space="preserve">SKU-1201</t>
  </si>
  <si>
    <t xml:space="preserve">Mela Backpack A5</t>
  </si>
  <si>
    <t xml:space="preserve">SKU-1205</t>
  </si>
  <si>
    <t xml:space="preserve">Nova Belt H1</t>
  </si>
  <si>
    <t xml:space="preserve">SKU-1206</t>
  </si>
  <si>
    <t xml:space="preserve">Coastline Belt G2</t>
  </si>
  <si>
    <t xml:space="preserve">SKU-1208</t>
  </si>
  <si>
    <t xml:space="preserve">Coastline Belt F4</t>
  </si>
  <si>
    <t xml:space="preserve">SKU-1209</t>
  </si>
  <si>
    <t xml:space="preserve">Primecraft Belt A5</t>
  </si>
  <si>
    <t xml:space="preserve">SKU-1211</t>
  </si>
  <si>
    <t xml:space="preserve">Primecraft Belt A7</t>
  </si>
  <si>
    <t xml:space="preserve">SKU-1212</t>
  </si>
  <si>
    <t xml:space="preserve">Mela Belt F8</t>
  </si>
  <si>
    <t xml:space="preserve">SKU-1214</t>
  </si>
  <si>
    <t xml:space="preserve">Lagoona Belt D10</t>
  </si>
  <si>
    <t xml:space="preserve">SKU-1215</t>
  </si>
  <si>
    <t xml:space="preserve">Coastline Wristwatch D1</t>
  </si>
  <si>
    <t xml:space="preserve">SKU-1216</t>
  </si>
  <si>
    <t xml:space="preserve">Mela Wristwatch E2</t>
  </si>
  <si>
    <t xml:space="preserve">SKU-1217</t>
  </si>
  <si>
    <t xml:space="preserve">Primecraft Wristwatch I3</t>
  </si>
  <si>
    <t xml:space="preserve">SKU-1218</t>
  </si>
  <si>
    <t xml:space="preserve">Lagoona Wristwatch D4</t>
  </si>
  <si>
    <t xml:space="preserve">SKU-1221</t>
  </si>
  <si>
    <t xml:space="preserve">Mela Wristwatch E7</t>
  </si>
  <si>
    <t xml:space="preserve">SKU-1222</t>
  </si>
  <si>
    <t xml:space="preserve">Coastline Wristwatch G8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</si>
</sst>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563E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</font>
      <fill>
        <patternFill>
          <bgColor rgb="FFDCFCE7"/>
        </patternFill>
      </fill>
    </dxf>
    <dxf>
      <font>
        <name val="Arial"/>
        <charset val="1"/>
        <family val="0"/>
        <b val="1"/>
        <i val="1"/>
        <color rgb="FF6B7280"/>
      </font>
      <fill>
        <patternFill>
          <bgColor rgb="FFF3F4F6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3" min="11" style="1" width="16"/>
    <col collapsed="false" customWidth="true" hidden="false" outlineLevel="0" max="14" min="14" style="1" width="13"/>
    <col collapsed="false" customWidth="true" hidden="false" outlineLevel="0" max="15" min="15" style="1" width="16"/>
    <col collapsed="false" customWidth="true" hidden="false" outlineLevel="0" max="16" min="16" style="1" width="9"/>
    <col collapsed="false" customWidth="true" hidden="false" outlineLevel="0" max="17" min="17" style="1" width="10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3" t="str">
        <f aca="false">'Raw Data'!A2</f>
        <v>SKU-1001</v>
      </c>
      <c r="B2" s="3" t="str">
        <f aca="false">'Raw Data'!B2</f>
        <v>Lagoona Sneakers A1</v>
      </c>
      <c r="C2" s="3" t="str">
        <f aca="false">'Raw Data'!C2</f>
        <v>Footwear</v>
      </c>
      <c r="D2" s="3" t="n">
        <f aca="false">SUM('Raw Data'!K2:P2)</f>
        <v>245</v>
      </c>
      <c r="E2" s="4" t="n">
        <f aca="false">D2/6</f>
        <v>40.8333333333333</v>
      </c>
      <c r="F2" s="5" t="n">
        <f aca="false">D2*'Raw Data'!G2</f>
        <v>4221350</v>
      </c>
      <c r="G2" s="5" t="n">
        <f aca="false">D2*'Raw Data'!F2</f>
        <v>2775850</v>
      </c>
      <c r="H2" s="5" t="n">
        <f aca="false">F2-G2</f>
        <v>1445500</v>
      </c>
      <c r="I2" s="3" t="n">
        <f aca="false">'Raw Data'!H2</f>
        <v>24</v>
      </c>
      <c r="J2" s="3" t="n">
        <f aca="false">'Raw Data'!I2</f>
        <v>61</v>
      </c>
      <c r="K2" s="4" t="n">
        <f aca="false">IF(I2=0,0,D2/I2)</f>
        <v>10.2083333333333</v>
      </c>
      <c r="L2" s="4" t="n">
        <f aca="false">IF(E2=0,999,I2/E2)</f>
        <v>0.587755102040816</v>
      </c>
      <c r="M2" s="6" t="str">
        <f aca="false">IF(D2=0,"Dead Stock",IF(I2&lt;=J2,"Reorder Needed",IF(L2&gt;6,"Overstocked","Healthy")))</f>
        <v>Reorder Needed</v>
      </c>
      <c r="N2" s="7" t="n">
        <f aca="false">F2/SUM($F$2:$F$151)</f>
        <v>0.0240445887898851</v>
      </c>
      <c r="O2" s="7" t="n">
        <f aca="false">SUMPRODUCT(($F$2:$F$151&gt;=F2)*$F$2:$F$151)/SUM($F$2:$F$151)</f>
        <v>0.209457654074958</v>
      </c>
      <c r="P2" s="6" t="str">
        <f aca="false">IF(O2&lt;=0.8,"A",IF(O2&lt;=0.95,"B","C"))</f>
        <v>A</v>
      </c>
      <c r="Q2" s="6" t="str">
        <f aca="false">IF(D2=0,"Yes","No")</f>
        <v>No</v>
      </c>
    </row>
    <row r="3" customFormat="false" ht="15" hidden="false" customHeight="true" outlineLevel="0" collapsed="false">
      <c r="A3" s="6" t="str">
        <f aca="false">'Raw Data'!A3</f>
        <v>SKU-1003</v>
      </c>
      <c r="B3" s="6" t="str">
        <f aca="false">'Raw Data'!B3</f>
        <v>Primecraft Sneakers F3</v>
      </c>
      <c r="C3" s="6" t="str">
        <f aca="false">'Raw Data'!C3</f>
        <v>Footwear</v>
      </c>
      <c r="D3" s="6" t="n">
        <f aca="false">SUM('Raw Data'!K3:P3)</f>
        <v>111</v>
      </c>
      <c r="E3" s="8" t="n">
        <f aca="false">D3/6</f>
        <v>18.5</v>
      </c>
      <c r="F3" s="9" t="n">
        <f aca="false">D3*'Raw Data'!G3</f>
        <v>409590</v>
      </c>
      <c r="G3" s="9" t="n">
        <f aca="false">D3*'Raw Data'!F3</f>
        <v>249750</v>
      </c>
      <c r="H3" s="9" t="n">
        <f aca="false">F3-G3</f>
        <v>159840</v>
      </c>
      <c r="I3" s="6" t="n">
        <f aca="false">'Raw Data'!H3</f>
        <v>30</v>
      </c>
      <c r="J3" s="6" t="n">
        <f aca="false">'Raw Data'!I3</f>
        <v>27</v>
      </c>
      <c r="K3" s="8" t="n">
        <f aca="false">IF(I3=0,0,D3/I3)</f>
        <v>3.7</v>
      </c>
      <c r="L3" s="8" t="n">
        <f aca="false">IF(E3=0,999,I3/E3)</f>
        <v>1.62162162162162</v>
      </c>
      <c r="M3" s="6" t="str">
        <f aca="false">IF(D3=0,"Dead Stock",IF(I3&lt;=J3,"Reorder Needed",IF(L3&gt;6,"Overstocked","Healthy")))</f>
        <v>Healthy</v>
      </c>
      <c r="N3" s="10" t="n">
        <f aca="false">F3/SUM($F$2:$F$151)</f>
        <v>0.00233300321519159</v>
      </c>
      <c r="O3" s="10" t="n">
        <f aca="false">SUMPRODUCT(($F$2:$F$151&gt;=F3)*$F$2:$F$151)/SUM($F$2:$F$151)</f>
        <v>0.944153454298934</v>
      </c>
      <c r="P3" s="6" t="str">
        <f aca="false">IF(O3&lt;=0.8,"A",IF(O3&lt;=0.95,"B","C"))</f>
        <v>B</v>
      </c>
      <c r="Q3" s="6" t="str">
        <f aca="false">IF(D3=0,"Yes","No")</f>
        <v>No</v>
      </c>
    </row>
    <row r="4" customFormat="false" ht="15" hidden="false" customHeight="true" outlineLevel="0" collapsed="false">
      <c r="A4" s="3" t="str">
        <f aca="false">'Raw Data'!A4</f>
        <v>SKU-1004</v>
      </c>
      <c r="B4" s="3" t="str">
        <f aca="false">'Raw Data'!B4</f>
        <v>Tide Sneakers F4</v>
      </c>
      <c r="C4" s="3" t="str">
        <f aca="false">'Raw Data'!C4</f>
        <v>Footwear</v>
      </c>
      <c r="D4" s="3" t="n">
        <f aca="false">SUM('Raw Data'!K4:P4)</f>
        <v>261</v>
      </c>
      <c r="E4" s="4" t="n">
        <f aca="false">D4/6</f>
        <v>43.5</v>
      </c>
      <c r="F4" s="5" t="n">
        <f aca="false">D4*'Raw Data'!G4</f>
        <v>4544010</v>
      </c>
      <c r="G4" s="5" t="n">
        <f aca="false">D4*'Raw Data'!F4</f>
        <v>2349000</v>
      </c>
      <c r="H4" s="5" t="n">
        <f aca="false">F4-G4</f>
        <v>2195010</v>
      </c>
      <c r="I4" s="3" t="n">
        <f aca="false">'Raw Data'!H4</f>
        <v>50</v>
      </c>
      <c r="J4" s="3" t="n">
        <f aca="false">'Raw Data'!I4</f>
        <v>65</v>
      </c>
      <c r="K4" s="4" t="n">
        <f aca="false">IF(I4=0,0,D4/I4)</f>
        <v>5.22</v>
      </c>
      <c r="L4" s="4" t="n">
        <f aca="false">IF(E4=0,999,I4/E4)</f>
        <v>1.14942528735632</v>
      </c>
      <c r="M4" s="6" t="str">
        <f aca="false">IF(D4=0,"Dead Stock",IF(I4&lt;=J4,"Reorder Needed",IF(L4&gt;6,"Overstocked","Healthy")))</f>
        <v>Reorder Needed</v>
      </c>
      <c r="N4" s="7" t="n">
        <f aca="false">F4/SUM($F$2:$F$151)</f>
        <v>0.0258824432722058</v>
      </c>
      <c r="O4" s="7" t="n">
        <f aca="false">SUMPRODUCT(($F$2:$F$151&gt;=F4)*$F$2:$F$151)/SUM($F$2:$F$151)</f>
        <v>0.0845483691618886</v>
      </c>
      <c r="P4" s="6" t="str">
        <f aca="false">IF(O4&lt;=0.8,"A",IF(O4&lt;=0.95,"B","C"))</f>
        <v>A</v>
      </c>
      <c r="Q4" s="6" t="str">
        <f aca="false">IF(D4=0,"Yes","No")</f>
        <v>No</v>
      </c>
    </row>
    <row r="5" customFormat="false" ht="15" hidden="false" customHeight="true" outlineLevel="0" collapsed="false">
      <c r="A5" s="6" t="str">
        <f aca="false">'Raw Data'!A5</f>
        <v>SKU-1005</v>
      </c>
      <c r="B5" s="6" t="str">
        <f aca="false">'Raw Data'!B5</f>
        <v>Coastline Sneakers F5</v>
      </c>
      <c r="C5" s="6" t="str">
        <f aca="false">'Raw Data'!C5</f>
        <v>Footwear</v>
      </c>
      <c r="D5" s="6" t="n">
        <f aca="false">SUM('Raw Data'!K5:P5)</f>
        <v>1</v>
      </c>
      <c r="E5" s="8" t="n">
        <f aca="false">D5/6</f>
        <v>0.166666666666667</v>
      </c>
      <c r="F5" s="9" t="n">
        <f aca="false">D5*'Raw Data'!G5</f>
        <v>5810</v>
      </c>
      <c r="G5" s="9" t="n">
        <f aca="false">D5*'Raw Data'!F5</f>
        <v>3770</v>
      </c>
      <c r="H5" s="9" t="n">
        <f aca="false">F5-G5</f>
        <v>2040</v>
      </c>
      <c r="I5" s="6" t="n">
        <f aca="false">'Raw Data'!H5</f>
        <v>117</v>
      </c>
      <c r="J5" s="6" t="n">
        <f aca="false">'Raw Data'!I5</f>
        <v>5</v>
      </c>
      <c r="K5" s="8" t="n">
        <f aca="false">IF(I5=0,0,D5/I5)</f>
        <v>0.00854700854700855</v>
      </c>
      <c r="L5" s="8" t="n">
        <f aca="false">IF(E5=0,999,I5/E5)</f>
        <v>702</v>
      </c>
      <c r="M5" s="6" t="str">
        <f aca="false">IF(D5=0,"Dead Stock",IF(I5&lt;=J5,"Reorder Needed",IF(L5&gt;6,"Overstocked","Healthy")))</f>
        <v>Overstocked</v>
      </c>
      <c r="N5" s="10" t="n">
        <f aca="false">F5/SUM($F$2:$F$151)</f>
        <v>3.30934560908791E-005</v>
      </c>
      <c r="O5" s="10" t="n">
        <f aca="false">SUMPRODUCT(($F$2:$F$151&gt;=F5)*$F$2:$F$151)/SUM($F$2:$F$151)</f>
        <v>1</v>
      </c>
      <c r="P5" s="6" t="str">
        <f aca="false">IF(O5&lt;=0.8,"A",IF(O5&lt;=0.95,"B","C"))</f>
        <v>C</v>
      </c>
      <c r="Q5" s="6" t="str">
        <f aca="false">IF(D5=0,"Yes","No")</f>
        <v>No</v>
      </c>
    </row>
    <row r="6" customFormat="false" ht="15" hidden="false" customHeight="true" outlineLevel="0" collapsed="false">
      <c r="A6" s="3" t="str">
        <f aca="false">'Raw Data'!A6</f>
        <v>SKU-1006</v>
      </c>
      <c r="B6" s="3" t="str">
        <f aca="false">'Raw Data'!B6</f>
        <v>Primecraft Sneakers C6</v>
      </c>
      <c r="C6" s="3" t="str">
        <f aca="false">'Raw Data'!C6</f>
        <v>Footwear</v>
      </c>
      <c r="D6" s="3" t="n">
        <f aca="false">SUM('Raw Data'!K6:P6)</f>
        <v>1</v>
      </c>
      <c r="E6" s="4" t="n">
        <f aca="false">D6/6</f>
        <v>0.166666666666667</v>
      </c>
      <c r="F6" s="5" t="n">
        <f aca="false">D6*'Raw Data'!G6</f>
        <v>11360</v>
      </c>
      <c r="G6" s="5" t="n">
        <f aca="false">D6*'Raw Data'!F6</f>
        <v>7360</v>
      </c>
      <c r="H6" s="5" t="n">
        <f aca="false">F6-G6</f>
        <v>4000</v>
      </c>
      <c r="I6" s="3" t="n">
        <f aca="false">'Raw Data'!H6</f>
        <v>127</v>
      </c>
      <c r="J6" s="3" t="n">
        <f aca="false">'Raw Data'!I6</f>
        <v>5</v>
      </c>
      <c r="K6" s="4" t="n">
        <f aca="false">IF(I6=0,0,D6/I6)</f>
        <v>0.0078740157480315</v>
      </c>
      <c r="L6" s="4" t="n">
        <f aca="false">IF(E6=0,999,I6/E6)</f>
        <v>762</v>
      </c>
      <c r="M6" s="6" t="str">
        <f aca="false">IF(D6=0,"Dead Stock",IF(I6&lt;=J6,"Reorder Needed",IF(L6&gt;6,"Overstocked","Healthy")))</f>
        <v>Overstocked</v>
      </c>
      <c r="N6" s="7" t="n">
        <f aca="false">F6/SUM($F$2:$F$151)</f>
        <v>6.47059657818221E-005</v>
      </c>
      <c r="O6" s="7" t="n">
        <f aca="false">SUMPRODUCT(($F$2:$F$151&gt;=F6)*$F$2:$F$151)/SUM($F$2:$F$151)</f>
        <v>0.999811919807208</v>
      </c>
      <c r="P6" s="6" t="str">
        <f aca="false">IF(O6&lt;=0.8,"A",IF(O6&lt;=0.95,"B","C"))</f>
        <v>C</v>
      </c>
      <c r="Q6" s="6" t="str">
        <f aca="false">IF(D6=0,"Yes","No")</f>
        <v>No</v>
      </c>
    </row>
    <row r="7" customFormat="false" ht="15" hidden="false" customHeight="true" outlineLevel="0" collapsed="false">
      <c r="A7" s="6" t="str">
        <f aca="false">'Raw Data'!A7</f>
        <v>SKU-1010</v>
      </c>
      <c r="B7" s="6" t="str">
        <f aca="false">'Raw Data'!B7</f>
        <v>Zenith Sneakers F10</v>
      </c>
      <c r="C7" s="6" t="str">
        <f aca="false">'Raw Data'!C7</f>
        <v>Footwear</v>
      </c>
      <c r="D7" s="6" t="n">
        <f aca="false">SUM('Raw Data'!K7:P7)</f>
        <v>113</v>
      </c>
      <c r="E7" s="8" t="n">
        <f aca="false">D7/6</f>
        <v>18.8333333333333</v>
      </c>
      <c r="F7" s="9" t="n">
        <f aca="false">D7*'Raw Data'!G7</f>
        <v>455390</v>
      </c>
      <c r="G7" s="9" t="n">
        <f aca="false">D7*'Raw Data'!F7</f>
        <v>268940</v>
      </c>
      <c r="H7" s="9" t="n">
        <f aca="false">F7-G7</f>
        <v>186450</v>
      </c>
      <c r="I7" s="6" t="n">
        <f aca="false">'Raw Data'!H7</f>
        <v>100</v>
      </c>
      <c r="J7" s="6" t="n">
        <f aca="false">'Raw Data'!I7</f>
        <v>28</v>
      </c>
      <c r="K7" s="8" t="n">
        <f aca="false">IF(I7=0,0,D7/I7)</f>
        <v>1.13</v>
      </c>
      <c r="L7" s="8" t="n">
        <f aca="false">IF(E7=0,999,I7/E7)</f>
        <v>5.30973451327434</v>
      </c>
      <c r="M7" s="6" t="str">
        <f aca="false">IF(D7=0,"Dead Stock",IF(I7&lt;=J7,"Reorder Needed",IF(L7&gt;6,"Overstocked","Healthy")))</f>
        <v>Healthy</v>
      </c>
      <c r="N7" s="10" t="n">
        <f aca="false">F7/SUM($F$2:$F$151)</f>
        <v>0.00259387761948802</v>
      </c>
      <c r="O7" s="10" t="n">
        <f aca="false">SUMPRODUCT(($F$2:$F$151&gt;=F7)*$F$2:$F$151)/SUM($F$2:$F$151)</f>
        <v>0.931977056039183</v>
      </c>
      <c r="P7" s="6" t="str">
        <f aca="false">IF(O7&lt;=0.8,"A",IF(O7&lt;=0.95,"B","C"))</f>
        <v>B</v>
      </c>
      <c r="Q7" s="6" t="str">
        <f aca="false">IF(D7=0,"Yes","No")</f>
        <v>No</v>
      </c>
    </row>
    <row r="8" customFormat="false" ht="15" hidden="false" customHeight="true" outlineLevel="0" collapsed="false">
      <c r="A8" s="3" t="str">
        <f aca="false">'Raw Data'!A8</f>
        <v>SKU-1011</v>
      </c>
      <c r="B8" s="3" t="str">
        <f aca="false">'Raw Data'!B8</f>
        <v>Primecraft Sandals C1</v>
      </c>
      <c r="C8" s="3" t="str">
        <f aca="false">'Raw Data'!C8</f>
        <v>Footwear</v>
      </c>
      <c r="D8" s="3" t="n">
        <f aca="false">SUM('Raw Data'!K8:P8)</f>
        <v>1</v>
      </c>
      <c r="E8" s="4" t="n">
        <f aca="false">D8/6</f>
        <v>0.166666666666667</v>
      </c>
      <c r="F8" s="5" t="n">
        <f aca="false">D8*'Raw Data'!G8</f>
        <v>8830</v>
      </c>
      <c r="G8" s="5" t="n">
        <f aca="false">D8*'Raw Data'!F8</f>
        <v>6110</v>
      </c>
      <c r="H8" s="5" t="n">
        <f aca="false">F8-G8</f>
        <v>2720</v>
      </c>
      <c r="I8" s="3" t="n">
        <f aca="false">'Raw Data'!H8</f>
        <v>116</v>
      </c>
      <c r="J8" s="3" t="n">
        <f aca="false">'Raw Data'!I8</f>
        <v>5</v>
      </c>
      <c r="K8" s="4" t="n">
        <f aca="false">IF(I8=0,0,D8/I8)</f>
        <v>0.00862068965517241</v>
      </c>
      <c r="L8" s="4" t="n">
        <f aca="false">IF(E8=0,999,I8/E8)</f>
        <v>696</v>
      </c>
      <c r="M8" s="6" t="str">
        <f aca="false">IF(D8=0,"Dead Stock",IF(I8&lt;=J8,"Reorder Needed",IF(L8&gt;6,"Overstocked","Healthy")))</f>
        <v>Overstocked</v>
      </c>
      <c r="N8" s="7" t="n">
        <f aca="false">F8/SUM($F$2:$F$151)</f>
        <v>5.02952181209057E-005</v>
      </c>
      <c r="O8" s="7" t="n">
        <f aca="false">SUMPRODUCT(($F$2:$F$151&gt;=F8)*$F$2:$F$151)/SUM($F$2:$F$151)</f>
        <v>0.999920313691788</v>
      </c>
      <c r="P8" s="6" t="str">
        <f aca="false">IF(O8&lt;=0.8,"A",IF(O8&lt;=0.95,"B","C"))</f>
        <v>C</v>
      </c>
      <c r="Q8" s="6" t="str">
        <f aca="false">IF(D8=0,"Yes","No")</f>
        <v>No</v>
      </c>
    </row>
    <row r="9" customFormat="false" ht="15" hidden="false" customHeight="true" outlineLevel="0" collapsed="false">
      <c r="A9" s="6" t="str">
        <f aca="false">'Raw Data'!A9</f>
        <v>SKU-1013</v>
      </c>
      <c r="B9" s="6" t="str">
        <f aca="false">'Raw Data'!B9</f>
        <v>Nova Sandals H3</v>
      </c>
      <c r="C9" s="6" t="str">
        <f aca="false">'Raw Data'!C9</f>
        <v>Footwear</v>
      </c>
      <c r="D9" s="6" t="n">
        <f aca="false">SUM('Raw Data'!K9:P9)</f>
        <v>62</v>
      </c>
      <c r="E9" s="8" t="n">
        <f aca="false">D9/6</f>
        <v>10.3333333333333</v>
      </c>
      <c r="F9" s="9" t="n">
        <f aca="false">D9*'Raw Data'!G9</f>
        <v>1279680</v>
      </c>
      <c r="G9" s="9" t="n">
        <f aca="false">D9*'Raw Data'!F9</f>
        <v>883500</v>
      </c>
      <c r="H9" s="9" t="n">
        <f aca="false">F9-G9</f>
        <v>396180</v>
      </c>
      <c r="I9" s="6" t="n">
        <f aca="false">'Raw Data'!H9</f>
        <v>71</v>
      </c>
      <c r="J9" s="6" t="n">
        <f aca="false">'Raw Data'!I9</f>
        <v>15</v>
      </c>
      <c r="K9" s="8" t="n">
        <f aca="false">IF(I9=0,0,D9/I9)</f>
        <v>0.873239436619718</v>
      </c>
      <c r="L9" s="8" t="n">
        <f aca="false">IF(E9=0,999,I9/E9)</f>
        <v>6.87096774193548</v>
      </c>
      <c r="M9" s="6" t="str">
        <f aca="false">IF(D9=0,"Dead Stock",IF(I9&lt;=J9,"Reorder Needed",IF(L9&gt;6,"Overstocked","Healthy")))</f>
        <v>Overstocked</v>
      </c>
      <c r="N9" s="10" t="n">
        <f aca="false">F9/SUM($F$2:$F$151)</f>
        <v>0.00728899034257765</v>
      </c>
      <c r="O9" s="10" t="n">
        <f aca="false">SUMPRODUCT(($F$2:$F$151&gt;=F9)*$F$2:$F$151)/SUM($F$2:$F$151)</f>
        <v>0.732715148333015</v>
      </c>
      <c r="P9" s="6" t="str">
        <f aca="false">IF(O9&lt;=0.8,"A",IF(O9&lt;=0.95,"B","C"))</f>
        <v>A</v>
      </c>
      <c r="Q9" s="6" t="str">
        <f aca="false">IF(D9=0,"Yes","No")</f>
        <v>No</v>
      </c>
    </row>
    <row r="10" customFormat="false" ht="15" hidden="false" customHeight="true" outlineLevel="0" collapsed="false">
      <c r="A10" s="3" t="str">
        <f aca="false">'Raw Data'!A10</f>
        <v>SKU-1014</v>
      </c>
      <c r="B10" s="3" t="str">
        <f aca="false">'Raw Data'!B10</f>
        <v>Bravo Sandals H4</v>
      </c>
      <c r="C10" s="3" t="str">
        <f aca="false">'Raw Data'!C10</f>
        <v>Footwear</v>
      </c>
      <c r="D10" s="3" t="n">
        <f aca="false">SUM('Raw Data'!K10:P10)</f>
        <v>79</v>
      </c>
      <c r="E10" s="4" t="n">
        <f aca="false">D10/6</f>
        <v>13.1666666666667</v>
      </c>
      <c r="F10" s="5" t="n">
        <f aca="false">D10*'Raw Data'!G10</f>
        <v>299410</v>
      </c>
      <c r="G10" s="5" t="n">
        <f aca="false">D10*'Raw Data'!F10</f>
        <v>199080</v>
      </c>
      <c r="H10" s="5" t="n">
        <f aca="false">F10-G10</f>
        <v>100330</v>
      </c>
      <c r="I10" s="3" t="n">
        <f aca="false">'Raw Data'!H10</f>
        <v>24</v>
      </c>
      <c r="J10" s="3" t="n">
        <f aca="false">'Raw Data'!I10</f>
        <v>19</v>
      </c>
      <c r="K10" s="4" t="n">
        <f aca="false">IF(I10=0,0,D10/I10)</f>
        <v>3.29166666666667</v>
      </c>
      <c r="L10" s="4" t="n">
        <f aca="false">IF(E10=0,999,I10/E10)</f>
        <v>1.82278481012658</v>
      </c>
      <c r="M10" s="6" t="str">
        <f aca="false">IF(D10=0,"Dead Stock",IF(I10&lt;=J10,"Reorder Needed",IF(L10&gt;6,"Overstocked","Healthy")))</f>
        <v>Healthy</v>
      </c>
      <c r="N10" s="7" t="n">
        <f aca="false">F10/SUM($F$2:$F$151)</f>
        <v>0.00170542369848022</v>
      </c>
      <c r="O10" s="7" t="n">
        <f aca="false">SUMPRODUCT(($F$2:$F$151&gt;=F10)*$F$2:$F$151)/SUM($F$2:$F$151)</f>
        <v>0.96943713954975</v>
      </c>
      <c r="P10" s="6" t="str">
        <f aca="false">IF(O10&lt;=0.8,"A",IF(O10&lt;=0.95,"B","C"))</f>
        <v>C</v>
      </c>
      <c r="Q10" s="6" t="str">
        <f aca="false">IF(D10=0,"Yes","No")</f>
        <v>No</v>
      </c>
    </row>
    <row r="11" customFormat="false" ht="15" hidden="false" customHeight="true" outlineLevel="0" collapsed="false">
      <c r="A11" s="6" t="str">
        <f aca="false">'Raw Data'!A11</f>
        <v>SKU-1015</v>
      </c>
      <c r="B11" s="6" t="str">
        <f aca="false">'Raw Data'!B11</f>
        <v>Bravo Sandals D5</v>
      </c>
      <c r="C11" s="6" t="str">
        <f aca="false">'Raw Data'!C11</f>
        <v>Footwear</v>
      </c>
      <c r="D11" s="6" t="n">
        <f aca="false">SUM('Raw Data'!K11:P11)</f>
        <v>65</v>
      </c>
      <c r="E11" s="8" t="n">
        <f aca="false">D11/6</f>
        <v>10.8333333333333</v>
      </c>
      <c r="F11" s="9" t="n">
        <f aca="false">D11*'Raw Data'!G11</f>
        <v>536250</v>
      </c>
      <c r="G11" s="9" t="n">
        <f aca="false">D11*'Raw Data'!F11</f>
        <v>308750</v>
      </c>
      <c r="H11" s="9" t="n">
        <f aca="false">F11-G11</f>
        <v>227500</v>
      </c>
      <c r="I11" s="6" t="n">
        <f aca="false">'Raw Data'!H11</f>
        <v>32</v>
      </c>
      <c r="J11" s="6" t="n">
        <f aca="false">'Raw Data'!I11</f>
        <v>16</v>
      </c>
      <c r="K11" s="8" t="n">
        <f aca="false">IF(I11=0,0,D11/I11)</f>
        <v>2.03125</v>
      </c>
      <c r="L11" s="8" t="n">
        <f aca="false">IF(E11=0,999,I11/E11)</f>
        <v>2.95384615384615</v>
      </c>
      <c r="M11" s="6" t="str">
        <f aca="false">IF(D11=0,"Dead Stock",IF(I11&lt;=J11,"Reorder Needed",IF(L11&gt;6,"Overstocked","Healthy")))</f>
        <v>Healthy</v>
      </c>
      <c r="N11" s="10" t="n">
        <f aca="false">F11/SUM($F$2:$F$151)</f>
        <v>0.00305445194986814</v>
      </c>
      <c r="O11" s="10" t="n">
        <f aca="false">SUMPRODUCT(($F$2:$F$151&gt;=F11)*$F$2:$F$151)/SUM($F$2:$F$151)</f>
        <v>0.917811461966933</v>
      </c>
      <c r="P11" s="6" t="str">
        <f aca="false">IF(O11&lt;=0.8,"A",IF(O11&lt;=0.95,"B","C"))</f>
        <v>B</v>
      </c>
      <c r="Q11" s="6" t="str">
        <f aca="false">IF(D11=0,"Yes","No")</f>
        <v>No</v>
      </c>
    </row>
    <row r="12" customFormat="false" ht="15" hidden="false" customHeight="true" outlineLevel="0" collapsed="false">
      <c r="A12" s="3" t="str">
        <f aca="false">'Raw Data'!A12</f>
        <v>SKU-1016</v>
      </c>
      <c r="B12" s="3" t="str">
        <f aca="false">'Raw Data'!B12</f>
        <v>Coastline Sandals G6</v>
      </c>
      <c r="C12" s="3" t="str">
        <f aca="false">'Raw Data'!C12</f>
        <v>Footwear</v>
      </c>
      <c r="D12" s="3" t="n">
        <f aca="false">SUM('Raw Data'!K12:P12)</f>
        <v>235</v>
      </c>
      <c r="E12" s="4" t="n">
        <f aca="false">D12/6</f>
        <v>39.1666666666667</v>
      </c>
      <c r="F12" s="5" t="n">
        <f aca="false">D12*'Raw Data'!G12</f>
        <v>3240650</v>
      </c>
      <c r="G12" s="5" t="n">
        <f aca="false">D12*'Raw Data'!F12</f>
        <v>1560400</v>
      </c>
      <c r="H12" s="5" t="n">
        <f aca="false">F12-G12</f>
        <v>1680250</v>
      </c>
      <c r="I12" s="3" t="n">
        <f aca="false">'Raw Data'!H12</f>
        <v>22</v>
      </c>
      <c r="J12" s="3" t="n">
        <f aca="false">'Raw Data'!I12</f>
        <v>58</v>
      </c>
      <c r="K12" s="4" t="n">
        <f aca="false">IF(I12=0,0,D12/I12)</f>
        <v>10.6818181818182</v>
      </c>
      <c r="L12" s="4" t="n">
        <f aca="false">IF(E12=0,999,I12/E12)</f>
        <v>0.561702127659575</v>
      </c>
      <c r="M12" s="6" t="str">
        <f aca="false">IF(D12=0,"Dead Stock",IF(I12&lt;=J12,"Reorder Needed",IF(L12&gt;6,"Overstocked","Healthy")))</f>
        <v>Reorder Needed</v>
      </c>
      <c r="N12" s="7" t="n">
        <f aca="false">F12/SUM($F$2:$F$151)</f>
        <v>0.0184585728882801</v>
      </c>
      <c r="O12" s="7" t="n">
        <f aca="false">SUMPRODUCT(($F$2:$F$151&gt;=F12)*$F$2:$F$151)/SUM($F$2:$F$151)</f>
        <v>0.314523681215807</v>
      </c>
      <c r="P12" s="6" t="str">
        <f aca="false">IF(O12&lt;=0.8,"A",IF(O12&lt;=0.95,"B","C"))</f>
        <v>A</v>
      </c>
      <c r="Q12" s="6" t="str">
        <f aca="false">IF(D12=0,"Yes","No")</f>
        <v>No</v>
      </c>
    </row>
    <row r="13" customFormat="false" ht="15" hidden="false" customHeight="true" outlineLevel="0" collapsed="false">
      <c r="A13" s="6" t="str">
        <f aca="false">'Raw Data'!A13</f>
        <v>SKU-1017</v>
      </c>
      <c r="B13" s="6" t="str">
        <f aca="false">'Raw Data'!B13</f>
        <v>Mela Sandals C7</v>
      </c>
      <c r="C13" s="6" t="str">
        <f aca="false">'Raw Data'!C13</f>
        <v>Footwear</v>
      </c>
      <c r="D13" s="6" t="n">
        <f aca="false">SUM('Raw Data'!K13:P13)</f>
        <v>113</v>
      </c>
      <c r="E13" s="8" t="n">
        <f aca="false">D13/6</f>
        <v>18.8333333333333</v>
      </c>
      <c r="F13" s="9" t="n">
        <f aca="false">D13*'Raw Data'!G13</f>
        <v>1189890</v>
      </c>
      <c r="G13" s="9" t="n">
        <f aca="false">D13*'Raw Data'!F13</f>
        <v>767270</v>
      </c>
      <c r="H13" s="9" t="n">
        <f aca="false">F13-G13</f>
        <v>422620</v>
      </c>
      <c r="I13" s="6" t="n">
        <f aca="false">'Raw Data'!H13</f>
        <v>21</v>
      </c>
      <c r="J13" s="6" t="n">
        <f aca="false">'Raw Data'!I13</f>
        <v>28</v>
      </c>
      <c r="K13" s="8" t="n">
        <f aca="false">IF(I13=0,0,D13/I13)</f>
        <v>5.38095238095238</v>
      </c>
      <c r="L13" s="8" t="n">
        <f aca="false">IF(E13=0,999,I13/E13)</f>
        <v>1.11504424778761</v>
      </c>
      <c r="M13" s="6" t="str">
        <f aca="false">IF(D13=0,"Dead Stock",IF(I13&lt;=J13,"Reorder Needed",IF(L13&gt;6,"Overstocked","Healthy")))</f>
        <v>Reorder Needed</v>
      </c>
      <c r="N13" s="10" t="n">
        <f aca="false">F13/SUM($F$2:$F$151)</f>
        <v>0.00677755119930742</v>
      </c>
      <c r="O13" s="10" t="n">
        <f aca="false">SUMPRODUCT(($F$2:$F$151&gt;=F13)*$F$2:$F$151)/SUM($F$2:$F$151)</f>
        <v>0.767801502602393</v>
      </c>
      <c r="P13" s="6" t="str">
        <f aca="false">IF(O13&lt;=0.8,"A",IF(O13&lt;=0.95,"B","C"))</f>
        <v>A</v>
      </c>
      <c r="Q13" s="6" t="str">
        <f aca="false">IF(D13=0,"Yes","No")</f>
        <v>No</v>
      </c>
    </row>
    <row r="14" customFormat="false" ht="15" hidden="false" customHeight="true" outlineLevel="0" collapsed="false">
      <c r="A14" s="3" t="str">
        <f aca="false">'Raw Data'!A14</f>
        <v>SKU-1019</v>
      </c>
      <c r="B14" s="3" t="str">
        <f aca="false">'Raw Data'!B14</f>
        <v>Nova Sandals D9</v>
      </c>
      <c r="C14" s="3" t="str">
        <f aca="false">'Raw Data'!C14</f>
        <v>Footwear</v>
      </c>
      <c r="D14" s="3" t="n">
        <f aca="false">SUM('Raw Data'!K14:P14)</f>
        <v>75</v>
      </c>
      <c r="E14" s="4" t="n">
        <f aca="false">D14/6</f>
        <v>12.5</v>
      </c>
      <c r="F14" s="5" t="n">
        <f aca="false">D14*'Raw Data'!G14</f>
        <v>816000</v>
      </c>
      <c r="G14" s="5" t="n">
        <f aca="false">D14*'Raw Data'!F14</f>
        <v>375750</v>
      </c>
      <c r="H14" s="5" t="n">
        <f aca="false">F14-G14</f>
        <v>440250</v>
      </c>
      <c r="I14" s="3" t="n">
        <f aca="false">'Raw Data'!H14</f>
        <v>40</v>
      </c>
      <c r="J14" s="3" t="n">
        <f aca="false">'Raw Data'!I14</f>
        <v>18</v>
      </c>
      <c r="K14" s="4" t="n">
        <f aca="false">IF(I14=0,0,D14/I14)</f>
        <v>1.875</v>
      </c>
      <c r="L14" s="4" t="n">
        <f aca="false">IF(E14=0,999,I14/E14)</f>
        <v>3.2</v>
      </c>
      <c r="M14" s="6" t="str">
        <f aca="false">IF(D14=0,"Dead Stock",IF(I14&lt;=J14,"Reorder Needed",IF(L14&gt;6,"Overstocked","Healthy")))</f>
        <v>Healthy</v>
      </c>
      <c r="N14" s="7" t="n">
        <f aca="false">F14/SUM($F$2:$F$151)</f>
        <v>0.00464789331672243</v>
      </c>
      <c r="O14" s="7" t="n">
        <f aca="false">SUMPRODUCT(($F$2:$F$151&gt;=F14)*$F$2:$F$151)/SUM($F$2:$F$151)</f>
        <v>0.861742546467968</v>
      </c>
      <c r="P14" s="6" t="str">
        <f aca="false">IF(O14&lt;=0.8,"A",IF(O14&lt;=0.95,"B","C"))</f>
        <v>B</v>
      </c>
      <c r="Q14" s="6" t="str">
        <f aca="false">IF(D14=0,"Yes","No")</f>
        <v>No</v>
      </c>
    </row>
    <row r="15" customFormat="false" ht="15" hidden="false" customHeight="true" outlineLevel="0" collapsed="false">
      <c r="A15" s="6" t="str">
        <f aca="false">'Raw Data'!A15</f>
        <v>SKU-1020</v>
      </c>
      <c r="B15" s="6" t="str">
        <f aca="false">'Raw Data'!B15</f>
        <v>Lagoona Sandals C10</v>
      </c>
      <c r="C15" s="6" t="str">
        <f aca="false">'Raw Data'!C15</f>
        <v>Footwear</v>
      </c>
      <c r="D15" s="6" t="n">
        <f aca="false">SUM('Raw Data'!K15:P15)</f>
        <v>17</v>
      </c>
      <c r="E15" s="8" t="n">
        <f aca="false">D15/6</f>
        <v>2.83333333333333</v>
      </c>
      <c r="F15" s="9" t="n">
        <f aca="false">D15*'Raw Data'!G15</f>
        <v>40970</v>
      </c>
      <c r="G15" s="9" t="n">
        <f aca="false">D15*'Raw Data'!F15</f>
        <v>30090</v>
      </c>
      <c r="H15" s="9" t="n">
        <f aca="false">F15-G15</f>
        <v>10880</v>
      </c>
      <c r="I15" s="6" t="n">
        <f aca="false">'Raw Data'!H15</f>
        <v>114</v>
      </c>
      <c r="J15" s="6" t="n">
        <f aca="false">'Raw Data'!I15</f>
        <v>5</v>
      </c>
      <c r="K15" s="8" t="n">
        <f aca="false">IF(I15=0,0,D15/I15)</f>
        <v>0.149122807017544</v>
      </c>
      <c r="L15" s="8" t="n">
        <f aca="false">IF(E15=0,999,I15/E15)</f>
        <v>40.2352941176471</v>
      </c>
      <c r="M15" s="6" t="str">
        <f aca="false">IF(D15=0,"Dead Stock",IF(I15&lt;=J15,"Reorder Needed",IF(L15&gt;6,"Overstocked","Healthy")))</f>
        <v>Overstocked</v>
      </c>
      <c r="N15" s="10" t="n">
        <f aca="false">F15/SUM($F$2:$F$151)</f>
        <v>0.000233362976943772</v>
      </c>
      <c r="O15" s="10" t="n">
        <f aca="false">SUMPRODUCT(($F$2:$F$151&gt;=F15)*$F$2:$F$151)/SUM($F$2:$F$151)</f>
        <v>0.999023031051858</v>
      </c>
      <c r="P15" s="6" t="str">
        <f aca="false">IF(O15&lt;=0.8,"A",IF(O15&lt;=0.95,"B","C"))</f>
        <v>C</v>
      </c>
      <c r="Q15" s="6" t="str">
        <f aca="false">IF(D15=0,"Yes","No")</f>
        <v>No</v>
      </c>
    </row>
    <row r="16" customFormat="false" ht="15" hidden="false" customHeight="true" outlineLevel="0" collapsed="false">
      <c r="A16" s="3" t="str">
        <f aca="false">'Raw Data'!A16</f>
        <v>SKU-1022</v>
      </c>
      <c r="B16" s="3" t="str">
        <f aca="false">'Raw Data'!B16</f>
        <v>Lagoona Boots B2</v>
      </c>
      <c r="C16" s="3" t="str">
        <f aca="false">'Raw Data'!C16</f>
        <v>Footwear</v>
      </c>
      <c r="D16" s="3" t="n">
        <f aca="false">SUM('Raw Data'!K16:P16)</f>
        <v>239</v>
      </c>
      <c r="E16" s="4" t="n">
        <f aca="false">D16/6</f>
        <v>39.8333333333333</v>
      </c>
      <c r="F16" s="5" t="n">
        <f aca="false">D16*'Raw Data'!G16</f>
        <v>3537200</v>
      </c>
      <c r="G16" s="5" t="n">
        <f aca="false">D16*'Raw Data'!F16</f>
        <v>2014770</v>
      </c>
      <c r="H16" s="5" t="n">
        <f aca="false">F16-G16</f>
        <v>1522430</v>
      </c>
      <c r="I16" s="3" t="n">
        <f aca="false">'Raw Data'!H16</f>
        <v>29</v>
      </c>
      <c r="J16" s="3" t="n">
        <f aca="false">'Raw Data'!I16</f>
        <v>59</v>
      </c>
      <c r="K16" s="4" t="n">
        <f aca="false">IF(I16=0,0,D16/I16)</f>
        <v>8.24137931034483</v>
      </c>
      <c r="L16" s="4" t="n">
        <f aca="false">IF(E16=0,999,I16/E16)</f>
        <v>0.728033472803347</v>
      </c>
      <c r="M16" s="6" t="str">
        <f aca="false">IF(D16=0,"Dead Stock",IF(I16&lt;=J16,"Reorder Needed",IF(L16&gt;6,"Overstocked","Healthy")))</f>
        <v>Reorder Needed</v>
      </c>
      <c r="N16" s="7" t="n">
        <f aca="false">F16/SUM($F$2:$F$151)</f>
        <v>0.020147706176361</v>
      </c>
      <c r="O16" s="7" t="n">
        <f aca="false">SUMPRODUCT(($F$2:$F$151&gt;=F16)*$F$2:$F$151)/SUM($F$2:$F$151)</f>
        <v>0.296065108327527</v>
      </c>
      <c r="P16" s="6" t="str">
        <f aca="false">IF(O16&lt;=0.8,"A",IF(O16&lt;=0.95,"B","C"))</f>
        <v>A</v>
      </c>
      <c r="Q16" s="6" t="str">
        <f aca="false">IF(D16=0,"Yes","No")</f>
        <v>No</v>
      </c>
    </row>
    <row r="17" customFormat="false" ht="15" hidden="false" customHeight="true" outlineLevel="0" collapsed="false">
      <c r="A17" s="6" t="str">
        <f aca="false">'Raw Data'!A17</f>
        <v>SKU-1028</v>
      </c>
      <c r="B17" s="6" t="str">
        <f aca="false">'Raw Data'!B17</f>
        <v>Urbanix Boots C8</v>
      </c>
      <c r="C17" s="6" t="str">
        <f aca="false">'Raw Data'!C17</f>
        <v>Footwear</v>
      </c>
      <c r="D17" s="6" t="n">
        <f aca="false">SUM('Raw Data'!K17:P17)</f>
        <v>1</v>
      </c>
      <c r="E17" s="8" t="n">
        <f aca="false">D17/6</f>
        <v>0.166666666666667</v>
      </c>
      <c r="F17" s="9" t="n">
        <f aca="false">D17*'Raw Data'!G17</f>
        <v>18000</v>
      </c>
      <c r="G17" s="9" t="n">
        <f aca="false">D17*'Raw Data'!F17</f>
        <v>11260</v>
      </c>
      <c r="H17" s="9" t="n">
        <f aca="false">F17-G17</f>
        <v>6740</v>
      </c>
      <c r="I17" s="6" t="n">
        <f aca="false">'Raw Data'!H17</f>
        <v>74</v>
      </c>
      <c r="J17" s="6" t="n">
        <f aca="false">'Raw Data'!I17</f>
        <v>5</v>
      </c>
      <c r="K17" s="8" t="n">
        <f aca="false">IF(I17=0,0,D17/I17)</f>
        <v>0.0135135135135135</v>
      </c>
      <c r="L17" s="8" t="n">
        <f aca="false">IF(E17=0,999,I17/E17)</f>
        <v>444</v>
      </c>
      <c r="M17" s="6" t="str">
        <f aca="false">IF(D17=0,"Dead Stock",IF(I17&lt;=J17,"Reorder Needed",IF(L17&gt;6,"Overstocked","Healthy")))</f>
        <v>Overstocked</v>
      </c>
      <c r="N17" s="10" t="n">
        <f aca="false">F17/SUM($F$2:$F$151)</f>
        <v>0.000102527058457112</v>
      </c>
      <c r="O17" s="10" t="n">
        <f aca="false">SUMPRODUCT(($F$2:$F$151&gt;=F17)*$F$2:$F$151)/SUM($F$2:$F$151)</f>
        <v>0.999747213841426</v>
      </c>
      <c r="P17" s="6" t="str">
        <f aca="false">IF(O17&lt;=0.8,"A",IF(O17&lt;=0.95,"B","C"))</f>
        <v>C</v>
      </c>
      <c r="Q17" s="6" t="str">
        <f aca="false">IF(D17=0,"Yes","No")</f>
        <v>No</v>
      </c>
    </row>
    <row r="18" customFormat="false" ht="15" hidden="false" customHeight="true" outlineLevel="0" collapsed="false">
      <c r="A18" s="3" t="str">
        <f aca="false">'Raw Data'!A18</f>
        <v>SKU-1030</v>
      </c>
      <c r="B18" s="3" t="str">
        <f aca="false">'Raw Data'!B18</f>
        <v>Zenith Boots F10</v>
      </c>
      <c r="C18" s="3" t="str">
        <f aca="false">'Raw Data'!C18</f>
        <v>Footwear</v>
      </c>
      <c r="D18" s="3" t="n">
        <f aca="false">SUM('Raw Data'!K18:P18)</f>
        <v>2</v>
      </c>
      <c r="E18" s="4" t="n">
        <f aca="false">D18/6</f>
        <v>0.333333333333333</v>
      </c>
      <c r="F18" s="5" t="n">
        <f aca="false">D18*'Raw Data'!G18</f>
        <v>32900</v>
      </c>
      <c r="G18" s="5" t="n">
        <f aca="false">D18*'Raw Data'!F18</f>
        <v>19820</v>
      </c>
      <c r="H18" s="5" t="n">
        <f aca="false">F18-G18</f>
        <v>13080</v>
      </c>
      <c r="I18" s="3" t="n">
        <f aca="false">'Raw Data'!H18</f>
        <v>43</v>
      </c>
      <c r="J18" s="3" t="n">
        <f aca="false">'Raw Data'!I18</f>
        <v>5</v>
      </c>
      <c r="K18" s="4" t="n">
        <f aca="false">IF(I18=0,0,D18/I18)</f>
        <v>0.0465116279069767</v>
      </c>
      <c r="L18" s="4" t="n">
        <f aca="false">IF(E18=0,999,I18/E18)</f>
        <v>129</v>
      </c>
      <c r="M18" s="6" t="str">
        <f aca="false">IF(D18=0,"Dead Stock",IF(I18&lt;=J18,"Reorder Needed",IF(L18&gt;6,"Overstocked","Healthy")))</f>
        <v>Overstocked</v>
      </c>
      <c r="N18" s="7" t="n">
        <f aca="false">F18/SUM($F$2:$F$151)</f>
        <v>0.000187396679068833</v>
      </c>
      <c r="O18" s="7" t="n">
        <f aca="false">SUMPRODUCT(($F$2:$F$151&gt;=F18)*$F$2:$F$151)/SUM($F$2:$F$151)</f>
        <v>0.999210427730926</v>
      </c>
      <c r="P18" s="6" t="str">
        <f aca="false">IF(O18&lt;=0.8,"A",IF(O18&lt;=0.95,"B","C"))</f>
        <v>C</v>
      </c>
      <c r="Q18" s="6" t="str">
        <f aca="false">IF(D18=0,"Yes","No")</f>
        <v>No</v>
      </c>
    </row>
    <row r="19" customFormat="false" ht="15" hidden="false" customHeight="true" outlineLevel="0" collapsed="false">
      <c r="A19" s="6" t="str">
        <f aca="false">'Raw Data'!A19</f>
        <v>SKU-1031</v>
      </c>
      <c r="B19" s="6" t="str">
        <f aca="false">'Raw Data'!B19</f>
        <v>Tide Loafers E1</v>
      </c>
      <c r="C19" s="6" t="str">
        <f aca="false">'Raw Data'!C19</f>
        <v>Footwear</v>
      </c>
      <c r="D19" s="6" t="n">
        <f aca="false">SUM('Raw Data'!K19:P19)</f>
        <v>86</v>
      </c>
      <c r="E19" s="8" t="n">
        <f aca="false">D19/6</f>
        <v>14.3333333333333</v>
      </c>
      <c r="F19" s="9" t="n">
        <f aca="false">D19*'Raw Data'!G19</f>
        <v>211560</v>
      </c>
      <c r="G19" s="9" t="n">
        <f aca="false">D19*'Raw Data'!F19</f>
        <v>115240</v>
      </c>
      <c r="H19" s="9" t="n">
        <f aca="false">F19-G19</f>
        <v>96320</v>
      </c>
      <c r="I19" s="6" t="n">
        <f aca="false">'Raw Data'!H19</f>
        <v>25</v>
      </c>
      <c r="J19" s="6" t="n">
        <f aca="false">'Raw Data'!I19</f>
        <v>21</v>
      </c>
      <c r="K19" s="8" t="n">
        <f aca="false">IF(I19=0,0,D19/I19)</f>
        <v>3.44</v>
      </c>
      <c r="L19" s="8" t="n">
        <f aca="false">IF(E19=0,999,I19/E19)</f>
        <v>1.74418604651163</v>
      </c>
      <c r="M19" s="6" t="str">
        <f aca="false">IF(D19=0,"Dead Stock",IF(I19&lt;=J19,"Reorder Needed",IF(L19&gt;6,"Overstocked","Healthy")))</f>
        <v>Healthy</v>
      </c>
      <c r="N19" s="10" t="n">
        <f aca="false">F19/SUM($F$2:$F$151)</f>
        <v>0.0012050346937326</v>
      </c>
      <c r="O19" s="10" t="n">
        <f aca="false">SUMPRODUCT(($F$2:$F$151&gt;=F19)*$F$2:$F$151)/SUM($F$2:$F$151)</f>
        <v>0.989649209935032</v>
      </c>
      <c r="P19" s="6" t="str">
        <f aca="false">IF(O19&lt;=0.8,"A",IF(O19&lt;=0.95,"B","C"))</f>
        <v>C</v>
      </c>
      <c r="Q19" s="6" t="str">
        <f aca="false">IF(D19=0,"Yes","No")</f>
        <v>No</v>
      </c>
    </row>
    <row r="20" customFormat="false" ht="15" hidden="false" customHeight="true" outlineLevel="0" collapsed="false">
      <c r="A20" s="3" t="str">
        <f aca="false">'Raw Data'!A20</f>
        <v>SKU-1033</v>
      </c>
      <c r="B20" s="3" t="str">
        <f aca="false">'Raw Data'!B20</f>
        <v>Zenith Loafers G3</v>
      </c>
      <c r="C20" s="3" t="str">
        <f aca="false">'Raw Data'!C20</f>
        <v>Footwear</v>
      </c>
      <c r="D20" s="3" t="n">
        <f aca="false">SUM('Raw Data'!K20:P20)</f>
        <v>103</v>
      </c>
      <c r="E20" s="4" t="n">
        <f aca="false">D20/6</f>
        <v>17.1666666666667</v>
      </c>
      <c r="F20" s="5" t="n">
        <f aca="false">D20*'Raw Data'!G20</f>
        <v>1078410</v>
      </c>
      <c r="G20" s="5" t="n">
        <f aca="false">D20*'Raw Data'!F20</f>
        <v>559290</v>
      </c>
      <c r="H20" s="5" t="n">
        <f aca="false">F20-G20</f>
        <v>519120</v>
      </c>
      <c r="I20" s="3" t="n">
        <f aca="false">'Raw Data'!H20</f>
        <v>71</v>
      </c>
      <c r="J20" s="3" t="n">
        <f aca="false">'Raw Data'!I20</f>
        <v>25</v>
      </c>
      <c r="K20" s="4" t="n">
        <f aca="false">IF(I20=0,0,D20/I20)</f>
        <v>1.45070422535211</v>
      </c>
      <c r="L20" s="4" t="n">
        <f aca="false">IF(E20=0,999,I20/E20)</f>
        <v>4.13592233009709</v>
      </c>
      <c r="M20" s="6" t="str">
        <f aca="false">IF(D20=0,"Dead Stock",IF(I20&lt;=J20,"Reorder Needed",IF(L20&gt;6,"Overstocked","Healthy")))</f>
        <v>Healthy</v>
      </c>
      <c r="N20" s="7" t="n">
        <f aca="false">F20/SUM($F$2:$F$151)</f>
        <v>0.00614256695059637</v>
      </c>
      <c r="O20" s="7" t="n">
        <f aca="false">SUMPRODUCT(($F$2:$F$151&gt;=F20)*$F$2:$F$151)/SUM($F$2:$F$151)</f>
        <v>0.812832696744726</v>
      </c>
      <c r="P20" s="6" t="str">
        <f aca="false">IF(O20&lt;=0.8,"A",IF(O20&lt;=0.95,"B","C"))</f>
        <v>B</v>
      </c>
      <c r="Q20" s="6" t="str">
        <f aca="false">IF(D20=0,"Yes","No")</f>
        <v>No</v>
      </c>
    </row>
    <row r="21" customFormat="false" ht="15" hidden="false" customHeight="true" outlineLevel="0" collapsed="false">
      <c r="A21" s="6" t="str">
        <f aca="false">'Raw Data'!A21</f>
        <v>SKU-1034</v>
      </c>
      <c r="B21" s="6" t="str">
        <f aca="false">'Raw Data'!B21</f>
        <v>Zenith Loafers E4</v>
      </c>
      <c r="C21" s="6" t="str">
        <f aca="false">'Raw Data'!C21</f>
        <v>Footwear</v>
      </c>
      <c r="D21" s="6" t="n">
        <f aca="false">SUM('Raw Data'!K21:P21)</f>
        <v>72</v>
      </c>
      <c r="E21" s="8" t="n">
        <f aca="false">D21/6</f>
        <v>12</v>
      </c>
      <c r="F21" s="9" t="n">
        <f aca="false">D21*'Raw Data'!G21</f>
        <v>546480</v>
      </c>
      <c r="G21" s="9" t="n">
        <f aca="false">D21*'Raw Data'!F21</f>
        <v>272160</v>
      </c>
      <c r="H21" s="9" t="n">
        <f aca="false">F21-G21</f>
        <v>274320</v>
      </c>
      <c r="I21" s="6" t="n">
        <f aca="false">'Raw Data'!H21</f>
        <v>41</v>
      </c>
      <c r="J21" s="6" t="n">
        <f aca="false">'Raw Data'!I21</f>
        <v>18</v>
      </c>
      <c r="K21" s="8" t="n">
        <f aca="false">IF(I21=0,0,D21/I21)</f>
        <v>1.75609756097561</v>
      </c>
      <c r="L21" s="8" t="n">
        <f aca="false">IF(E21=0,999,I21/E21)</f>
        <v>3.41666666666667</v>
      </c>
      <c r="M21" s="6" t="str">
        <f aca="false">IF(D21=0,"Dead Stock",IF(I21&lt;=J21,"Reorder Needed",IF(L21&gt;6,"Overstocked","Healthy")))</f>
        <v>Healthy</v>
      </c>
      <c r="N21" s="10" t="n">
        <f aca="false">F21/SUM($F$2:$F$151)</f>
        <v>0.00311272149475793</v>
      </c>
      <c r="O21" s="10" t="n">
        <f aca="false">SUMPRODUCT(($F$2:$F$151&gt;=F21)*$F$2:$F$151)/SUM($F$2:$F$151)</f>
        <v>0.914757010017064</v>
      </c>
      <c r="P21" s="6" t="str">
        <f aca="false">IF(O21&lt;=0.8,"A",IF(O21&lt;=0.95,"B","C"))</f>
        <v>B</v>
      </c>
      <c r="Q21" s="6" t="str">
        <f aca="false">IF(D21=0,"Yes","No")</f>
        <v>No</v>
      </c>
    </row>
    <row r="22" customFormat="false" ht="15" hidden="false" customHeight="true" outlineLevel="0" collapsed="false">
      <c r="A22" s="3" t="str">
        <f aca="false">'Raw Data'!A22</f>
        <v>SKU-1035</v>
      </c>
      <c r="B22" s="3" t="str">
        <f aca="false">'Raw Data'!B22</f>
        <v>Bravo Loafers J5</v>
      </c>
      <c r="C22" s="3" t="str">
        <f aca="false">'Raw Data'!C22</f>
        <v>Footwear</v>
      </c>
      <c r="D22" s="3" t="n">
        <f aca="false">SUM('Raw Data'!K22:P22)</f>
        <v>23</v>
      </c>
      <c r="E22" s="4" t="n">
        <f aca="false">D22/6</f>
        <v>3.83333333333333</v>
      </c>
      <c r="F22" s="5" t="n">
        <f aca="false">D22*'Raw Data'!G22</f>
        <v>260360</v>
      </c>
      <c r="G22" s="5" t="n">
        <f aca="false">D22*'Raw Data'!F22</f>
        <v>127880</v>
      </c>
      <c r="H22" s="5" t="n">
        <f aca="false">F22-G22</f>
        <v>132480</v>
      </c>
      <c r="I22" s="3" t="n">
        <f aca="false">'Raw Data'!H22</f>
        <v>39</v>
      </c>
      <c r="J22" s="3" t="n">
        <f aca="false">'Raw Data'!I22</f>
        <v>5</v>
      </c>
      <c r="K22" s="4" t="n">
        <f aca="false">IF(I22=0,0,D22/I22)</f>
        <v>0.58974358974359</v>
      </c>
      <c r="L22" s="4" t="n">
        <f aca="false">IF(E22=0,999,I22/E22)</f>
        <v>10.1739130434783</v>
      </c>
      <c r="M22" s="6" t="str">
        <f aca="false">IF(D22=0,"Dead Stock",IF(I22&lt;=J22,"Reorder Needed",IF(L22&gt;6,"Overstocked","Healthy")))</f>
        <v>Overstocked</v>
      </c>
      <c r="N22" s="7" t="n">
        <f aca="false">F22/SUM($F$2:$F$151)</f>
        <v>0.00148299694110521</v>
      </c>
      <c r="O22" s="7" t="n">
        <f aca="false">SUMPRODUCT(($F$2:$F$151&gt;=F22)*$F$2:$F$151)/SUM($F$2:$F$151)</f>
        <v>0.978995338493368</v>
      </c>
      <c r="P22" s="6" t="str">
        <f aca="false">IF(O22&lt;=0.8,"A",IF(O22&lt;=0.95,"B","C"))</f>
        <v>C</v>
      </c>
      <c r="Q22" s="6" t="str">
        <f aca="false">IF(D22=0,"Yes","No")</f>
        <v>No</v>
      </c>
    </row>
    <row r="23" customFormat="false" ht="15" hidden="false" customHeight="true" outlineLevel="0" collapsed="false">
      <c r="A23" s="6" t="str">
        <f aca="false">'Raw Data'!A23</f>
        <v>SKU-1037</v>
      </c>
      <c r="B23" s="6" t="str">
        <f aca="false">'Raw Data'!B23</f>
        <v>Mela Loafers A7</v>
      </c>
      <c r="C23" s="6" t="str">
        <f aca="false">'Raw Data'!C23</f>
        <v>Footwear</v>
      </c>
      <c r="D23" s="6" t="n">
        <f aca="false">SUM('Raw Data'!K23:P23)</f>
        <v>244</v>
      </c>
      <c r="E23" s="8" t="n">
        <f aca="false">D23/6</f>
        <v>40.6666666666667</v>
      </c>
      <c r="F23" s="9" t="n">
        <f aca="false">D23*'Raw Data'!G23</f>
        <v>4523760</v>
      </c>
      <c r="G23" s="9" t="n">
        <f aca="false">D23*'Raw Data'!F23</f>
        <v>2127680</v>
      </c>
      <c r="H23" s="9" t="n">
        <f aca="false">F23-G23</f>
        <v>2396080</v>
      </c>
      <c r="I23" s="6" t="n">
        <f aca="false">'Raw Data'!H23</f>
        <v>38</v>
      </c>
      <c r="J23" s="6" t="n">
        <f aca="false">'Raw Data'!I23</f>
        <v>61</v>
      </c>
      <c r="K23" s="8" t="n">
        <f aca="false">IF(I23=0,0,D23/I23)</f>
        <v>6.42105263157895</v>
      </c>
      <c r="L23" s="8" t="n">
        <f aca="false">IF(E23=0,999,I23/E23)</f>
        <v>0.934426229508197</v>
      </c>
      <c r="M23" s="6" t="str">
        <f aca="false">IF(D23=0,"Dead Stock",IF(I23&lt;=J23,"Reorder Needed",IF(L23&gt;6,"Overstocked","Healthy")))</f>
        <v>Reorder Needed</v>
      </c>
      <c r="N23" s="10" t="n">
        <f aca="false">F23/SUM($F$2:$F$151)</f>
        <v>0.0257671003314415</v>
      </c>
      <c r="O23" s="10" t="n">
        <f aca="false">SUMPRODUCT(($F$2:$F$151&gt;=F23)*$F$2:$F$151)/SUM($F$2:$F$151)</f>
        <v>0.136181850193044</v>
      </c>
      <c r="P23" s="6" t="str">
        <f aca="false">IF(O23&lt;=0.8,"A",IF(O23&lt;=0.95,"B","C"))</f>
        <v>A</v>
      </c>
      <c r="Q23" s="6" t="str">
        <f aca="false">IF(D23=0,"Yes","No")</f>
        <v>No</v>
      </c>
    </row>
    <row r="24" customFormat="false" ht="15" hidden="false" customHeight="true" outlineLevel="0" collapsed="false">
      <c r="A24" s="3" t="str">
        <f aca="false">'Raw Data'!A24</f>
        <v>SKU-1038</v>
      </c>
      <c r="B24" s="3" t="str">
        <f aca="false">'Raw Data'!B24</f>
        <v>Drift Loafers I8</v>
      </c>
      <c r="C24" s="3" t="str">
        <f aca="false">'Raw Data'!C24</f>
        <v>Footwear</v>
      </c>
      <c r="D24" s="3" t="n">
        <f aca="false">SUM('Raw Data'!K24:P24)</f>
        <v>16</v>
      </c>
      <c r="E24" s="4" t="n">
        <f aca="false">D24/6</f>
        <v>2.66666666666667</v>
      </c>
      <c r="F24" s="5" t="n">
        <f aca="false">D24*'Raw Data'!G24</f>
        <v>164640</v>
      </c>
      <c r="G24" s="5" t="n">
        <f aca="false">D24*'Raw Data'!F24</f>
        <v>114080</v>
      </c>
      <c r="H24" s="5" t="n">
        <f aca="false">F24-G24</f>
        <v>50560</v>
      </c>
      <c r="I24" s="3" t="n">
        <f aca="false">'Raw Data'!H24</f>
        <v>60</v>
      </c>
      <c r="J24" s="3" t="n">
        <f aca="false">'Raw Data'!I24</f>
        <v>5</v>
      </c>
      <c r="K24" s="4" t="n">
        <f aca="false">IF(I24=0,0,D24/I24)</f>
        <v>0.266666666666667</v>
      </c>
      <c r="L24" s="4" t="n">
        <f aca="false">IF(E24=0,999,I24/E24)</f>
        <v>22.5</v>
      </c>
      <c r="M24" s="6" t="str">
        <f aca="false">IF(D24=0,"Dead Stock",IF(I24&lt;=J24,"Reorder Needed",IF(L24&gt;6,"Overstocked","Healthy")))</f>
        <v>Overstocked</v>
      </c>
      <c r="N24" s="7" t="n">
        <f aca="false">F24/SUM($F$2:$F$151)</f>
        <v>0.000937780828021055</v>
      </c>
      <c r="O24" s="7" t="n">
        <f aca="false">SUMPRODUCT(($F$2:$F$151&gt;=F24)*$F$2:$F$151)/SUM($F$2:$F$151)</f>
        <v>0.996038354461217</v>
      </c>
      <c r="P24" s="6" t="str">
        <f aca="false">IF(O24&lt;=0.8,"A",IF(O24&lt;=0.95,"B","C"))</f>
        <v>C</v>
      </c>
      <c r="Q24" s="6" t="str">
        <f aca="false">IF(D24=0,"Yes","No")</f>
        <v>No</v>
      </c>
    </row>
    <row r="25" customFormat="false" ht="15" hidden="false" customHeight="true" outlineLevel="0" collapsed="false">
      <c r="A25" s="6" t="str">
        <f aca="false">'Raw Data'!A25</f>
        <v>SKU-1039</v>
      </c>
      <c r="B25" s="6" t="str">
        <f aca="false">'Raw Data'!B25</f>
        <v>Zenith Flip Flops D1</v>
      </c>
      <c r="C25" s="6" t="str">
        <f aca="false">'Raw Data'!C25</f>
        <v>Footwear</v>
      </c>
      <c r="D25" s="6" t="n">
        <f aca="false">SUM('Raw Data'!K25:P25)</f>
        <v>89</v>
      </c>
      <c r="E25" s="8" t="n">
        <f aca="false">D25/6</f>
        <v>14.8333333333333</v>
      </c>
      <c r="F25" s="9" t="n">
        <f aca="false">D25*'Raw Data'!G25</f>
        <v>658600</v>
      </c>
      <c r="G25" s="9" t="n">
        <f aca="false">D25*'Raw Data'!F25</f>
        <v>414740</v>
      </c>
      <c r="H25" s="9" t="n">
        <f aca="false">F25-G25</f>
        <v>243860</v>
      </c>
      <c r="I25" s="6" t="n">
        <f aca="false">'Raw Data'!H25</f>
        <v>89</v>
      </c>
      <c r="J25" s="6" t="n">
        <f aca="false">'Raw Data'!I25</f>
        <v>22</v>
      </c>
      <c r="K25" s="8" t="n">
        <f aca="false">IF(I25=0,0,D25/I25)</f>
        <v>1</v>
      </c>
      <c r="L25" s="8" t="n">
        <f aca="false">IF(E25=0,999,I25/E25)</f>
        <v>6</v>
      </c>
      <c r="M25" s="6" t="str">
        <f aca="false">IF(D25=0,"Dead Stock",IF(I25&lt;=J25,"Reorder Needed",IF(L25&gt;6,"Overstocked","Healthy")))</f>
        <v>Healthy</v>
      </c>
      <c r="N25" s="10" t="n">
        <f aca="false">F25/SUM($F$2:$F$151)</f>
        <v>0.0037513511499919</v>
      </c>
      <c r="O25" s="10" t="n">
        <f aca="false">SUMPRODUCT(($F$2:$F$151&gt;=F25)*$F$2:$F$151)/SUM($F$2:$F$151)</f>
        <v>0.890933936632924</v>
      </c>
      <c r="P25" s="6" t="str">
        <f aca="false">IF(O25&lt;=0.8,"A",IF(O25&lt;=0.95,"B","C"))</f>
        <v>B</v>
      </c>
      <c r="Q25" s="6" t="str">
        <f aca="false">IF(D25=0,"Yes","No")</f>
        <v>No</v>
      </c>
    </row>
    <row r="26" customFormat="false" ht="15" hidden="false" customHeight="true" outlineLevel="0" collapsed="false">
      <c r="A26" s="3" t="str">
        <f aca="false">'Raw Data'!A26</f>
        <v>SKU-1042</v>
      </c>
      <c r="B26" s="3" t="str">
        <f aca="false">'Raw Data'!B26</f>
        <v>Bravo Flip Flops A4</v>
      </c>
      <c r="C26" s="3" t="str">
        <f aca="false">'Raw Data'!C26</f>
        <v>Footwear</v>
      </c>
      <c r="D26" s="3" t="n">
        <f aca="false">SUM('Raw Data'!K26:P26)</f>
        <v>25</v>
      </c>
      <c r="E26" s="4" t="n">
        <f aca="false">D26/6</f>
        <v>4.16666666666667</v>
      </c>
      <c r="F26" s="5" t="n">
        <f aca="false">D26*'Raw Data'!G26</f>
        <v>626750</v>
      </c>
      <c r="G26" s="5" t="n">
        <f aca="false">D26*'Raw Data'!F26</f>
        <v>342000</v>
      </c>
      <c r="H26" s="5" t="n">
        <f aca="false">F26-G26</f>
        <v>284750</v>
      </c>
      <c r="I26" s="3" t="n">
        <f aca="false">'Raw Data'!H26</f>
        <v>88</v>
      </c>
      <c r="J26" s="3" t="n">
        <f aca="false">'Raw Data'!I26</f>
        <v>6</v>
      </c>
      <c r="K26" s="4" t="n">
        <f aca="false">IF(I26=0,0,D26/I26)</f>
        <v>0.284090909090909</v>
      </c>
      <c r="L26" s="4" t="n">
        <f aca="false">IF(E26=0,999,I26/E26)</f>
        <v>21.12</v>
      </c>
      <c r="M26" s="6" t="str">
        <f aca="false">IF(D26=0,"Dead Stock",IF(I26&lt;=J26,"Reorder Needed",IF(L26&gt;6,"Overstocked","Healthy")))</f>
        <v>Overstocked</v>
      </c>
      <c r="N26" s="7" t="n">
        <f aca="false">F26/SUM($F$2:$F$151)</f>
        <v>0.00356993521599974</v>
      </c>
      <c r="O26" s="7" t="n">
        <f aca="false">SUMPRODUCT(($F$2:$F$151&gt;=F26)*$F$2:$F$151)/SUM($F$2:$F$151)</f>
        <v>0.89814415201892</v>
      </c>
      <c r="P26" s="6" t="str">
        <f aca="false">IF(O26&lt;=0.8,"A",IF(O26&lt;=0.95,"B","C"))</f>
        <v>B</v>
      </c>
      <c r="Q26" s="6" t="str">
        <f aca="false">IF(D26=0,"Yes","No")</f>
        <v>No</v>
      </c>
    </row>
    <row r="27" customFormat="false" ht="15" hidden="false" customHeight="true" outlineLevel="0" collapsed="false">
      <c r="A27" s="6" t="str">
        <f aca="false">'Raw Data'!A27</f>
        <v>SKU-1043</v>
      </c>
      <c r="B27" s="6" t="str">
        <f aca="false">'Raw Data'!B27</f>
        <v>Drift Flip Flops E5</v>
      </c>
      <c r="C27" s="6" t="str">
        <f aca="false">'Raw Data'!C27</f>
        <v>Footwear</v>
      </c>
      <c r="D27" s="6" t="n">
        <f aca="false">SUM('Raw Data'!K27:P27)</f>
        <v>69</v>
      </c>
      <c r="E27" s="8" t="n">
        <f aca="false">D27/6</f>
        <v>11.5</v>
      </c>
      <c r="F27" s="9" t="n">
        <f aca="false">D27*'Raw Data'!G27</f>
        <v>1622880</v>
      </c>
      <c r="G27" s="9" t="n">
        <f aca="false">D27*'Raw Data'!F27</f>
        <v>792120</v>
      </c>
      <c r="H27" s="9" t="n">
        <f aca="false">F27-G27</f>
        <v>830760</v>
      </c>
      <c r="I27" s="6" t="n">
        <f aca="false">'Raw Data'!H27</f>
        <v>25</v>
      </c>
      <c r="J27" s="6" t="n">
        <f aca="false">'Raw Data'!I27</f>
        <v>17</v>
      </c>
      <c r="K27" s="8" t="n">
        <f aca="false">IF(I27=0,0,D27/I27)</f>
        <v>2.76</v>
      </c>
      <c r="L27" s="8" t="n">
        <f aca="false">IF(E27=0,999,I27/E27)</f>
        <v>2.17391304347826</v>
      </c>
      <c r="M27" s="6" t="str">
        <f aca="false">IF(D27=0,"Dead Stock",IF(I27&lt;=J27,"Reorder Needed",IF(L27&gt;6,"Overstocked","Healthy")))</f>
        <v>Healthy</v>
      </c>
      <c r="N27" s="10" t="n">
        <f aca="false">F27/SUM($F$2:$F$151)</f>
        <v>0.00924383959049326</v>
      </c>
      <c r="O27" s="10" t="n">
        <f aca="false">SUMPRODUCT(($F$2:$F$151&gt;=F27)*$F$2:$F$151)/SUM($F$2:$F$151)</f>
        <v>0.611657748046703</v>
      </c>
      <c r="P27" s="6" t="str">
        <f aca="false">IF(O27&lt;=0.8,"A",IF(O27&lt;=0.95,"B","C"))</f>
        <v>A</v>
      </c>
      <c r="Q27" s="6" t="str">
        <f aca="false">IF(D27=0,"Yes","No")</f>
        <v>No</v>
      </c>
    </row>
    <row r="28" customFormat="false" ht="15" hidden="false" customHeight="true" outlineLevel="0" collapsed="false">
      <c r="A28" s="3" t="str">
        <f aca="false">'Raw Data'!A28</f>
        <v>SKU-1044</v>
      </c>
      <c r="B28" s="3" t="str">
        <f aca="false">'Raw Data'!B28</f>
        <v>Primecraft Flip Flops A6</v>
      </c>
      <c r="C28" s="3" t="str">
        <f aca="false">'Raw Data'!C28</f>
        <v>Footwear</v>
      </c>
      <c r="D28" s="3" t="n">
        <f aca="false">SUM('Raw Data'!K28:P28)</f>
        <v>102</v>
      </c>
      <c r="E28" s="4" t="n">
        <f aca="false">D28/6</f>
        <v>17</v>
      </c>
      <c r="F28" s="5" t="n">
        <f aca="false">D28*'Raw Data'!G28</f>
        <v>1486140</v>
      </c>
      <c r="G28" s="5" t="n">
        <f aca="false">D28*'Raw Data'!F28</f>
        <v>981240</v>
      </c>
      <c r="H28" s="5" t="n">
        <f aca="false">F28-G28</f>
        <v>504900</v>
      </c>
      <c r="I28" s="3" t="n">
        <f aca="false">'Raw Data'!H28</f>
        <v>34</v>
      </c>
      <c r="J28" s="3" t="n">
        <f aca="false">'Raw Data'!I28</f>
        <v>25</v>
      </c>
      <c r="K28" s="4" t="n">
        <f aca="false">IF(I28=0,0,D28/I28)</f>
        <v>3</v>
      </c>
      <c r="L28" s="4" t="n">
        <f aca="false">IF(E28=0,999,I28/E28)</f>
        <v>2</v>
      </c>
      <c r="M28" s="6" t="str">
        <f aca="false">IF(D28=0,"Dead Stock",IF(I28&lt;=J28,"Reorder Needed",IF(L28&gt;6,"Overstocked","Healthy")))</f>
        <v>Healthy</v>
      </c>
      <c r="N28" s="7" t="n">
        <f aca="false">F28/SUM($F$2:$F$151)</f>
        <v>0.00846497570308073</v>
      </c>
      <c r="O28" s="7" t="n">
        <f aca="false">SUMPRODUCT(($F$2:$F$151&gt;=F28)*$F$2:$F$151)/SUM($F$2:$F$151)</f>
        <v>0.646920676694535</v>
      </c>
      <c r="P28" s="6" t="str">
        <f aca="false">IF(O28&lt;=0.8,"A",IF(O28&lt;=0.95,"B","C"))</f>
        <v>A</v>
      </c>
      <c r="Q28" s="6" t="str">
        <f aca="false">IF(D28=0,"Yes","No")</f>
        <v>No</v>
      </c>
    </row>
    <row r="29" customFormat="false" ht="15" hidden="false" customHeight="true" outlineLevel="0" collapsed="false">
      <c r="A29" s="6" t="str">
        <f aca="false">'Raw Data'!A29</f>
        <v>SKU-1045</v>
      </c>
      <c r="B29" s="6" t="str">
        <f aca="false">'Raw Data'!B29</f>
        <v>Lagoona Flip Flops J7</v>
      </c>
      <c r="C29" s="6" t="str">
        <f aca="false">'Raw Data'!C29</f>
        <v>Footwear</v>
      </c>
      <c r="D29" s="6" t="n">
        <f aca="false">SUM('Raw Data'!K29:P29)</f>
        <v>17</v>
      </c>
      <c r="E29" s="8" t="n">
        <f aca="false">D29/6</f>
        <v>2.83333333333333</v>
      </c>
      <c r="F29" s="9" t="n">
        <f aca="false">D29*'Raw Data'!G29</f>
        <v>31110</v>
      </c>
      <c r="G29" s="9" t="n">
        <f aca="false">D29*'Raw Data'!F29</f>
        <v>19720</v>
      </c>
      <c r="H29" s="9" t="n">
        <f aca="false">F29-G29</f>
        <v>11390</v>
      </c>
      <c r="I29" s="6" t="n">
        <f aca="false">'Raw Data'!H29</f>
        <v>43</v>
      </c>
      <c r="J29" s="6" t="n">
        <f aca="false">'Raw Data'!I29</f>
        <v>5</v>
      </c>
      <c r="K29" s="8" t="n">
        <f aca="false">IF(I29=0,0,D29/I29)</f>
        <v>0.395348837209302</v>
      </c>
      <c r="L29" s="8" t="n">
        <f aca="false">IF(E29=0,999,I29/E29)</f>
        <v>15.1764705882353</v>
      </c>
      <c r="M29" s="6" t="str">
        <f aca="false">IF(D29=0,"Dead Stock",IF(I29&lt;=J29,"Reorder Needed",IF(L29&gt;6,"Overstocked","Healthy")))</f>
        <v>Overstocked</v>
      </c>
      <c r="N29" s="10" t="n">
        <f aca="false">F29/SUM($F$2:$F$151)</f>
        <v>0.000177200932700043</v>
      </c>
      <c r="O29" s="10" t="n">
        <f aca="false">SUMPRODUCT(($F$2:$F$151&gt;=F29)*$F$2:$F$151)/SUM($F$2:$F$151)</f>
        <v>0.999387628663626</v>
      </c>
      <c r="P29" s="6" t="str">
        <f aca="false">IF(O29&lt;=0.8,"A",IF(O29&lt;=0.95,"B","C"))</f>
        <v>C</v>
      </c>
      <c r="Q29" s="6" t="str">
        <f aca="false">IF(D29=0,"Yes","No")</f>
        <v>No</v>
      </c>
    </row>
    <row r="30" customFormat="false" ht="15" hidden="false" customHeight="true" outlineLevel="0" collapsed="false">
      <c r="A30" s="3" t="str">
        <f aca="false">'Raw Data'!A30</f>
        <v>SKU-1046</v>
      </c>
      <c r="B30" s="3" t="str">
        <f aca="false">'Raw Data'!B30</f>
        <v>Lagoona Flip Flops J8</v>
      </c>
      <c r="C30" s="3" t="str">
        <f aca="false">'Raw Data'!C30</f>
        <v>Footwear</v>
      </c>
      <c r="D30" s="3" t="n">
        <f aca="false">SUM('Raw Data'!K30:P30)</f>
        <v>89</v>
      </c>
      <c r="E30" s="4" t="n">
        <f aca="false">D30/6</f>
        <v>14.8333333333333</v>
      </c>
      <c r="F30" s="5" t="n">
        <f aca="false">D30*'Raw Data'!G30</f>
        <v>1708800</v>
      </c>
      <c r="G30" s="5" t="n">
        <f aca="false">D30*'Raw Data'!F30</f>
        <v>1059990</v>
      </c>
      <c r="H30" s="5" t="n">
        <f aca="false">F30-G30</f>
        <v>648810</v>
      </c>
      <c r="I30" s="3" t="n">
        <f aca="false">'Raw Data'!H30</f>
        <v>66</v>
      </c>
      <c r="J30" s="3" t="n">
        <f aca="false">'Raw Data'!I30</f>
        <v>22</v>
      </c>
      <c r="K30" s="4" t="n">
        <f aca="false">IF(I30=0,0,D30/I30)</f>
        <v>1.34848484848485</v>
      </c>
      <c r="L30" s="4" t="n">
        <f aca="false">IF(E30=0,999,I30/E30)</f>
        <v>4.44943820224719</v>
      </c>
      <c r="M30" s="6" t="str">
        <f aca="false">IF(D30=0,"Dead Stock",IF(I30&lt;=J30,"Reorder Needed",IF(L30&gt;6,"Overstocked","Healthy")))</f>
        <v>Healthy</v>
      </c>
      <c r="N30" s="7" t="n">
        <f aca="false">F30/SUM($F$2:$F$151)</f>
        <v>0.00973323541619521</v>
      </c>
      <c r="O30" s="7" t="n">
        <f aca="false">SUMPRODUCT(($F$2:$F$151&gt;=F30)*$F$2:$F$151)/SUM($F$2:$F$151)</f>
        <v>0.583736554217078</v>
      </c>
      <c r="P30" s="6" t="str">
        <f aca="false">IF(O30&lt;=0.8,"A",IF(O30&lt;=0.95,"B","C"))</f>
        <v>A</v>
      </c>
      <c r="Q30" s="6" t="str">
        <f aca="false">IF(D30=0,"Yes","No")</f>
        <v>No</v>
      </c>
    </row>
    <row r="31" customFormat="false" ht="15" hidden="false" customHeight="true" outlineLevel="0" collapsed="false">
      <c r="A31" s="6" t="str">
        <f aca="false">'Raw Data'!A31</f>
        <v>SKU-1047</v>
      </c>
      <c r="B31" s="6" t="str">
        <f aca="false">'Raw Data'!B31</f>
        <v>Nova T-Shirt I1</v>
      </c>
      <c r="C31" s="6" t="str">
        <f aca="false">'Raw Data'!C31</f>
        <v>Apparel</v>
      </c>
      <c r="D31" s="6" t="n">
        <f aca="false">SUM('Raw Data'!K31:P31)</f>
        <v>20</v>
      </c>
      <c r="E31" s="8" t="n">
        <f aca="false">D31/6</f>
        <v>3.33333333333333</v>
      </c>
      <c r="F31" s="9" t="n">
        <f aca="false">D31*'Raw Data'!G31</f>
        <v>447800</v>
      </c>
      <c r="G31" s="9" t="n">
        <f aca="false">D31*'Raw Data'!F31</f>
        <v>290200</v>
      </c>
      <c r="H31" s="9" t="n">
        <f aca="false">F31-G31</f>
        <v>157600</v>
      </c>
      <c r="I31" s="6" t="n">
        <f aca="false">'Raw Data'!H31</f>
        <v>41</v>
      </c>
      <c r="J31" s="6" t="n">
        <f aca="false">'Raw Data'!I31</f>
        <v>5</v>
      </c>
      <c r="K31" s="8" t="n">
        <f aca="false">IF(I31=0,0,D31/I31)</f>
        <v>0.487804878048781</v>
      </c>
      <c r="L31" s="8" t="n">
        <f aca="false">IF(E31=0,999,I31/E31)</f>
        <v>12.3</v>
      </c>
      <c r="M31" s="6" t="str">
        <f aca="false">IF(D31=0,"Dead Stock",IF(I31&lt;=J31,"Reorder Needed",IF(L31&gt;6,"Overstocked","Healthy")))</f>
        <v>Overstocked</v>
      </c>
      <c r="N31" s="10" t="n">
        <f aca="false">F31/SUM($F$2:$F$151)</f>
        <v>0.00255064537650528</v>
      </c>
      <c r="O31" s="10" t="n">
        <f aca="false">SUMPRODUCT(($F$2:$F$151&gt;=F31)*$F$2:$F$151)/SUM($F$2:$F$151)</f>
        <v>0.934527701415688</v>
      </c>
      <c r="P31" s="6" t="str">
        <f aca="false">IF(O31&lt;=0.8,"A",IF(O31&lt;=0.95,"B","C"))</f>
        <v>B</v>
      </c>
      <c r="Q31" s="6" t="str">
        <f aca="false">IF(D31=0,"Yes","No")</f>
        <v>No</v>
      </c>
    </row>
    <row r="32" customFormat="false" ht="15" hidden="false" customHeight="true" outlineLevel="0" collapsed="false">
      <c r="A32" s="3" t="str">
        <f aca="false">'Raw Data'!A32</f>
        <v>SKU-1048</v>
      </c>
      <c r="B32" s="3" t="str">
        <f aca="false">'Raw Data'!B32</f>
        <v>Primecraft T-Shirt H2</v>
      </c>
      <c r="C32" s="3" t="str">
        <f aca="false">'Raw Data'!C32</f>
        <v>Apparel</v>
      </c>
      <c r="D32" s="3" t="n">
        <f aca="false">SUM('Raw Data'!K32:P32)</f>
        <v>83</v>
      </c>
      <c r="E32" s="4" t="n">
        <f aca="false">D32/6</f>
        <v>13.8333333333333</v>
      </c>
      <c r="F32" s="5" t="n">
        <f aca="false">D32*'Raw Data'!G32</f>
        <v>1402700</v>
      </c>
      <c r="G32" s="5" t="n">
        <f aca="false">D32*'Raw Data'!F32</f>
        <v>737870</v>
      </c>
      <c r="H32" s="5" t="n">
        <f aca="false">F32-G32</f>
        <v>664830</v>
      </c>
      <c r="I32" s="3" t="n">
        <f aca="false">'Raw Data'!H32</f>
        <v>96</v>
      </c>
      <c r="J32" s="3" t="n">
        <f aca="false">'Raw Data'!I32</f>
        <v>20</v>
      </c>
      <c r="K32" s="4" t="n">
        <f aca="false">IF(I32=0,0,D32/I32)</f>
        <v>0.864583333333333</v>
      </c>
      <c r="L32" s="4" t="n">
        <f aca="false">IF(E32=0,999,I32/E32)</f>
        <v>6.93975903614458</v>
      </c>
      <c r="M32" s="6" t="str">
        <f aca="false">IF(D32=0,"Dead Stock",IF(I32&lt;=J32,"Reorder Needed",IF(L32&gt;6,"Overstocked","Healthy")))</f>
        <v>Overstocked</v>
      </c>
      <c r="N32" s="7" t="n">
        <f aca="false">F32/SUM($F$2:$F$151)</f>
        <v>0.00798970582765509</v>
      </c>
      <c r="O32" s="7" t="n">
        <f aca="false">SUMPRODUCT(($F$2:$F$151&gt;=F32)*$F$2:$F$151)/SUM($F$2:$F$151)</f>
        <v>0.687749001913326</v>
      </c>
      <c r="P32" s="6" t="str">
        <f aca="false">IF(O32&lt;=0.8,"A",IF(O32&lt;=0.95,"B","C"))</f>
        <v>A</v>
      </c>
      <c r="Q32" s="6" t="str">
        <f aca="false">IF(D32=0,"Yes","No")</f>
        <v>No</v>
      </c>
    </row>
    <row r="33" customFormat="false" ht="15" hidden="false" customHeight="true" outlineLevel="0" collapsed="false">
      <c r="A33" s="6" t="str">
        <f aca="false">'Raw Data'!A33</f>
        <v>SKU-1049</v>
      </c>
      <c r="B33" s="6" t="str">
        <f aca="false">'Raw Data'!B33</f>
        <v>Urbanix T-Shirt I3</v>
      </c>
      <c r="C33" s="6" t="str">
        <f aca="false">'Raw Data'!C33</f>
        <v>Apparel</v>
      </c>
      <c r="D33" s="6" t="n">
        <f aca="false">SUM('Raw Data'!K33:P33)</f>
        <v>11</v>
      </c>
      <c r="E33" s="8" t="n">
        <f aca="false">D33/6</f>
        <v>1.83333333333333</v>
      </c>
      <c r="F33" s="9" t="n">
        <f aca="false">D33*'Raw Data'!G33</f>
        <v>216040</v>
      </c>
      <c r="G33" s="9" t="n">
        <f aca="false">D33*'Raw Data'!F33</f>
        <v>156860</v>
      </c>
      <c r="H33" s="9" t="n">
        <f aca="false">F33-G33</f>
        <v>59180</v>
      </c>
      <c r="I33" s="6" t="n">
        <f aca="false">'Raw Data'!H33</f>
        <v>41</v>
      </c>
      <c r="J33" s="6" t="n">
        <f aca="false">'Raw Data'!I33</f>
        <v>5</v>
      </c>
      <c r="K33" s="8" t="n">
        <f aca="false">IF(I33=0,0,D33/I33)</f>
        <v>0.268292682926829</v>
      </c>
      <c r="L33" s="8" t="n">
        <f aca="false">IF(E33=0,999,I33/E33)</f>
        <v>22.3636363636364</v>
      </c>
      <c r="M33" s="6" t="str">
        <f aca="false">IF(D33=0,"Dead Stock",IF(I33&lt;=J33,"Reorder Needed",IF(L33&gt;6,"Overstocked","Healthy")))</f>
        <v>Overstocked</v>
      </c>
      <c r="N33" s="10" t="n">
        <f aca="false">F33/SUM($F$2:$F$151)</f>
        <v>0.00123055253939303</v>
      </c>
      <c r="O33" s="10" t="n">
        <f aca="false">SUMPRODUCT(($F$2:$F$151&gt;=F33)*$F$2:$F$151)/SUM($F$2:$F$151)</f>
        <v>0.988444175241299</v>
      </c>
      <c r="P33" s="6" t="str">
        <f aca="false">IF(O33&lt;=0.8,"A",IF(O33&lt;=0.95,"B","C"))</f>
        <v>C</v>
      </c>
      <c r="Q33" s="6" t="str">
        <f aca="false">IF(D33=0,"Yes","No")</f>
        <v>No</v>
      </c>
    </row>
    <row r="34" customFormat="false" ht="15" hidden="false" customHeight="true" outlineLevel="0" collapsed="false">
      <c r="A34" s="3" t="str">
        <f aca="false">'Raw Data'!A34</f>
        <v>SKU-1052</v>
      </c>
      <c r="B34" s="3" t="str">
        <f aca="false">'Raw Data'!B34</f>
        <v>Zenith T-Shirt D6</v>
      </c>
      <c r="C34" s="3" t="str">
        <f aca="false">'Raw Data'!C34</f>
        <v>Apparel</v>
      </c>
      <c r="D34" s="3" t="n">
        <f aca="false">SUM('Raw Data'!K34:P34)</f>
        <v>26</v>
      </c>
      <c r="E34" s="4" t="n">
        <f aca="false">D34/6</f>
        <v>4.33333333333333</v>
      </c>
      <c r="F34" s="5" t="n">
        <f aca="false">D34*'Raw Data'!G34</f>
        <v>242060</v>
      </c>
      <c r="G34" s="5" t="n">
        <f aca="false">D34*'Raw Data'!F34</f>
        <v>153920</v>
      </c>
      <c r="H34" s="5" t="n">
        <f aca="false">F34-G34</f>
        <v>88140</v>
      </c>
      <c r="I34" s="3" t="n">
        <f aca="false">'Raw Data'!H34</f>
        <v>92</v>
      </c>
      <c r="J34" s="3" t="n">
        <f aca="false">'Raw Data'!I34</f>
        <v>6</v>
      </c>
      <c r="K34" s="4" t="n">
        <f aca="false">IF(I34=0,0,D34/I34)</f>
        <v>0.282608695652174</v>
      </c>
      <c r="L34" s="4" t="n">
        <f aca="false">IF(E34=0,999,I34/E34)</f>
        <v>21.2307692307692</v>
      </c>
      <c r="M34" s="6" t="str">
        <f aca="false">IF(D34=0,"Dead Stock",IF(I34&lt;=J34,"Reorder Needed",IF(L34&gt;6,"Overstocked","Healthy")))</f>
        <v>Overstocked</v>
      </c>
      <c r="N34" s="7" t="n">
        <f aca="false">F34/SUM($F$2:$F$151)</f>
        <v>0.00137876109834048</v>
      </c>
      <c r="O34" s="7" t="n">
        <f aca="false">SUMPRODUCT(($F$2:$F$151&gt;=F34)*$F$2:$F$151)/SUM($F$2:$F$151)</f>
        <v>0.983266615748692</v>
      </c>
      <c r="P34" s="6" t="str">
        <f aca="false">IF(O34&lt;=0.8,"A",IF(O34&lt;=0.95,"B","C"))</f>
        <v>C</v>
      </c>
      <c r="Q34" s="6" t="str">
        <f aca="false">IF(D34=0,"Yes","No")</f>
        <v>No</v>
      </c>
    </row>
    <row r="35" customFormat="false" ht="15" hidden="false" customHeight="true" outlineLevel="0" collapsed="false">
      <c r="A35" s="6" t="str">
        <f aca="false">'Raw Data'!A35</f>
        <v>SKU-1053</v>
      </c>
      <c r="B35" s="6" t="str">
        <f aca="false">'Raw Data'!B35</f>
        <v>Tide T-Shirt E7</v>
      </c>
      <c r="C35" s="6" t="str">
        <f aca="false">'Raw Data'!C35</f>
        <v>Apparel</v>
      </c>
      <c r="D35" s="6" t="n">
        <f aca="false">SUM('Raw Data'!K35:P35)</f>
        <v>249</v>
      </c>
      <c r="E35" s="8" t="n">
        <f aca="false">D35/6</f>
        <v>41.5</v>
      </c>
      <c r="F35" s="9" t="n">
        <f aca="false">D35*'Raw Data'!G35</f>
        <v>3154830</v>
      </c>
      <c r="G35" s="9" t="n">
        <f aca="false">D35*'Raw Data'!F35</f>
        <v>1860030</v>
      </c>
      <c r="H35" s="9" t="n">
        <f aca="false">F35-G35</f>
        <v>1294800</v>
      </c>
      <c r="I35" s="6" t="n">
        <f aca="false">'Raw Data'!H35</f>
        <v>50</v>
      </c>
      <c r="J35" s="6" t="n">
        <f aca="false">'Raw Data'!I35</f>
        <v>62</v>
      </c>
      <c r="K35" s="8" t="n">
        <f aca="false">IF(I35=0,0,D35/I35)</f>
        <v>4.98</v>
      </c>
      <c r="L35" s="8" t="n">
        <f aca="false">IF(E35=0,999,I35/E35)</f>
        <v>1.20481927710843</v>
      </c>
      <c r="M35" s="6" t="str">
        <f aca="false">IF(D35=0,"Dead Stock",IF(I35&lt;=J35,"Reorder Needed",IF(L35&gt;6,"Overstocked","Healthy")))</f>
        <v>Reorder Needed</v>
      </c>
      <c r="N35" s="10" t="n">
        <f aca="false">F35/SUM($F$2:$F$151)</f>
        <v>0.0179697466573473</v>
      </c>
      <c r="O35" s="10" t="n">
        <f aca="false">SUMPRODUCT(($F$2:$F$151&gt;=F35)*$F$2:$F$151)/SUM($F$2:$F$151)</f>
        <v>0.332493427873154</v>
      </c>
      <c r="P35" s="6" t="str">
        <f aca="false">IF(O35&lt;=0.8,"A",IF(O35&lt;=0.95,"B","C"))</f>
        <v>A</v>
      </c>
      <c r="Q35" s="6" t="str">
        <f aca="false">IF(D35=0,"Yes","No")</f>
        <v>No</v>
      </c>
    </row>
    <row r="36" customFormat="false" ht="15" hidden="false" customHeight="true" outlineLevel="0" collapsed="false">
      <c r="A36" s="3" t="str">
        <f aca="false">'Raw Data'!A36</f>
        <v>SKU-1054</v>
      </c>
      <c r="B36" s="3" t="str">
        <f aca="false">'Raw Data'!B36</f>
        <v>Nova T-Shirt J8</v>
      </c>
      <c r="C36" s="3" t="str">
        <f aca="false">'Raw Data'!C36</f>
        <v>Apparel</v>
      </c>
      <c r="D36" s="3" t="n">
        <f aca="false">SUM('Raw Data'!K36:P36)</f>
        <v>68</v>
      </c>
      <c r="E36" s="4" t="n">
        <f aca="false">D36/6</f>
        <v>11.3333333333333</v>
      </c>
      <c r="F36" s="5" t="n">
        <f aca="false">D36*'Raw Data'!G36</f>
        <v>1336880</v>
      </c>
      <c r="G36" s="5" t="n">
        <f aca="false">D36*'Raw Data'!F36</f>
        <v>971040</v>
      </c>
      <c r="H36" s="5" t="n">
        <f aca="false">F36-G36</f>
        <v>365840</v>
      </c>
      <c r="I36" s="3" t="n">
        <f aca="false">'Raw Data'!H36</f>
        <v>76</v>
      </c>
      <c r="J36" s="3" t="n">
        <f aca="false">'Raw Data'!I36</f>
        <v>17</v>
      </c>
      <c r="K36" s="4" t="n">
        <f aca="false">IF(I36=0,0,D36/I36)</f>
        <v>0.894736842105263</v>
      </c>
      <c r="L36" s="4" t="n">
        <f aca="false">IF(E36=0,999,I36/E36)</f>
        <v>6.70588235294118</v>
      </c>
      <c r="M36" s="6" t="str">
        <f aca="false">IF(D36=0,"Dead Stock",IF(I36&lt;=J36,"Reorder Needed",IF(L36&gt;6,"Overstocked","Healthy")))</f>
        <v>Overstocked</v>
      </c>
      <c r="N36" s="7" t="n">
        <f aca="false">F36/SUM($F$2:$F$151)</f>
        <v>0.00761479855056358</v>
      </c>
      <c r="O36" s="7" t="n">
        <f aca="false">SUMPRODUCT(($F$2:$F$151&gt;=F36)*$F$2:$F$151)/SUM($F$2:$F$151)</f>
        <v>0.703258383965087</v>
      </c>
      <c r="P36" s="6" t="str">
        <f aca="false">IF(O36&lt;=0.8,"A",IF(O36&lt;=0.95,"B","C"))</f>
        <v>A</v>
      </c>
      <c r="Q36" s="6" t="str">
        <f aca="false">IF(D36=0,"Yes","No")</f>
        <v>No</v>
      </c>
    </row>
    <row r="37" customFormat="false" ht="15" hidden="false" customHeight="true" outlineLevel="0" collapsed="false">
      <c r="A37" s="6" t="str">
        <f aca="false">'Raw Data'!A37</f>
        <v>SKU-1055</v>
      </c>
      <c r="B37" s="6" t="str">
        <f aca="false">'Raw Data'!B37</f>
        <v>Drift T-Shirt E9</v>
      </c>
      <c r="C37" s="6" t="str">
        <f aca="false">'Raw Data'!C37</f>
        <v>Apparel</v>
      </c>
      <c r="D37" s="6" t="n">
        <f aca="false">SUM('Raw Data'!K37:P37)</f>
        <v>0</v>
      </c>
      <c r="E37" s="8" t="n">
        <f aca="false">D37/6</f>
        <v>0</v>
      </c>
      <c r="F37" s="9" t="n">
        <f aca="false">D37*'Raw Data'!G37</f>
        <v>0</v>
      </c>
      <c r="G37" s="9" t="n">
        <f aca="false">D37*'Raw Data'!F37</f>
        <v>0</v>
      </c>
      <c r="H37" s="9" t="n">
        <f aca="false">F37-G37</f>
        <v>0</v>
      </c>
      <c r="I37" s="6" t="n">
        <f aca="false">'Raw Data'!H37</f>
        <v>120</v>
      </c>
      <c r="J37" s="6" t="n">
        <f aca="false">'Raw Data'!I37</f>
        <v>5</v>
      </c>
      <c r="K37" s="8" t="n">
        <f aca="false">IF(I37=0,0,D37/I37)</f>
        <v>0</v>
      </c>
      <c r="L37" s="8" t="n">
        <f aca="false">IF(E37=0,999,I37/E37)</f>
        <v>999</v>
      </c>
      <c r="M37" s="6" t="str">
        <f aca="false">IF(D37=0,"Dead Stock",IF(I37&lt;=J37,"Reorder Needed",IF(L37&gt;6,"Overstocked","Healthy")))</f>
        <v>Dead Stock</v>
      </c>
      <c r="N37" s="10" t="n">
        <f aca="false">F37/SUM($F$2:$F$151)</f>
        <v>0</v>
      </c>
      <c r="O37" s="10" t="n">
        <f aca="false">SUMPRODUCT(($F$2:$F$151&gt;=F37)*$F$2:$F$151)/SUM($F$2:$F$151)</f>
        <v>1</v>
      </c>
      <c r="P37" s="6" t="str">
        <f aca="false">IF(O37&lt;=0.8,"A",IF(O37&lt;=0.95,"B","C"))</f>
        <v>C</v>
      </c>
      <c r="Q37" s="6" t="str">
        <f aca="false">IF(D37=0,"Yes","No")</f>
        <v>Yes</v>
      </c>
    </row>
    <row r="38" customFormat="false" ht="15" hidden="false" customHeight="true" outlineLevel="0" collapsed="false">
      <c r="A38" s="3" t="str">
        <f aca="false">'Raw Data'!A38</f>
        <v>SKU-1061</v>
      </c>
      <c r="B38" s="3" t="str">
        <f aca="false">'Raw Data'!B38</f>
        <v>Zenith Jeans G6</v>
      </c>
      <c r="C38" s="3" t="str">
        <f aca="false">'Raw Data'!C38</f>
        <v>Apparel</v>
      </c>
      <c r="D38" s="3" t="n">
        <f aca="false">SUM('Raw Data'!K38:P38)</f>
        <v>78</v>
      </c>
      <c r="E38" s="4" t="n">
        <f aca="false">D38/6</f>
        <v>13</v>
      </c>
      <c r="F38" s="5" t="n">
        <f aca="false">D38*'Raw Data'!G38</f>
        <v>1729260</v>
      </c>
      <c r="G38" s="5" t="n">
        <f aca="false">D38*'Raw Data'!F38</f>
        <v>963300</v>
      </c>
      <c r="H38" s="5" t="n">
        <f aca="false">F38-G38</f>
        <v>765960</v>
      </c>
      <c r="I38" s="3" t="n">
        <f aca="false">'Raw Data'!H38</f>
        <v>89</v>
      </c>
      <c r="J38" s="3" t="n">
        <f aca="false">'Raw Data'!I38</f>
        <v>19</v>
      </c>
      <c r="K38" s="4" t="n">
        <f aca="false">IF(I38=0,0,D38/I38)</f>
        <v>0.876404494382023</v>
      </c>
      <c r="L38" s="4" t="n">
        <f aca="false">IF(E38=0,999,I38/E38)</f>
        <v>6.84615384615385</v>
      </c>
      <c r="M38" s="6" t="str">
        <f aca="false">IF(D38=0,"Dead Stock",IF(I38&lt;=J38,"Reorder Needed",IF(L38&gt;6,"Overstocked","Healthy")))</f>
        <v>Overstocked</v>
      </c>
      <c r="N38" s="7" t="n">
        <f aca="false">F38/SUM($F$2:$F$151)</f>
        <v>0.00984977450597479</v>
      </c>
      <c r="O38" s="7" t="n">
        <f aca="false">SUMPRODUCT(($F$2:$F$151&gt;=F38)*$F$2:$F$151)/SUM($F$2:$F$151)</f>
        <v>0.574003318800882</v>
      </c>
      <c r="P38" s="6" t="str">
        <f aca="false">IF(O38&lt;=0.8,"A",IF(O38&lt;=0.95,"B","C"))</f>
        <v>A</v>
      </c>
      <c r="Q38" s="6" t="str">
        <f aca="false">IF(D38=0,"Yes","No")</f>
        <v>No</v>
      </c>
    </row>
    <row r="39" customFormat="false" ht="15" hidden="false" customHeight="true" outlineLevel="0" collapsed="false">
      <c r="A39" s="6" t="str">
        <f aca="false">'Raw Data'!A39</f>
        <v>SKU-1062</v>
      </c>
      <c r="B39" s="6" t="str">
        <f aca="false">'Raw Data'!B39</f>
        <v>Urbanix Jeans D7</v>
      </c>
      <c r="C39" s="6" t="str">
        <f aca="false">'Raw Data'!C39</f>
        <v>Apparel</v>
      </c>
      <c r="D39" s="6" t="n">
        <f aca="false">SUM('Raw Data'!K39:P39)</f>
        <v>96</v>
      </c>
      <c r="E39" s="8" t="n">
        <f aca="false">D39/6</f>
        <v>16</v>
      </c>
      <c r="F39" s="9" t="n">
        <f aca="false">D39*'Raw Data'!G39</f>
        <v>1457280</v>
      </c>
      <c r="G39" s="9" t="n">
        <f aca="false">D39*'Raw Data'!F39</f>
        <v>783360</v>
      </c>
      <c r="H39" s="9" t="n">
        <f aca="false">F39-G39</f>
        <v>673920</v>
      </c>
      <c r="I39" s="6" t="n">
        <f aca="false">'Raw Data'!H39</f>
        <v>82</v>
      </c>
      <c r="J39" s="6" t="n">
        <f aca="false">'Raw Data'!I39</f>
        <v>24</v>
      </c>
      <c r="K39" s="8" t="n">
        <f aca="false">IF(I39=0,0,D39/I39)</f>
        <v>1.17073170731707</v>
      </c>
      <c r="L39" s="8" t="n">
        <f aca="false">IF(E39=0,999,I39/E39)</f>
        <v>5.125</v>
      </c>
      <c r="M39" s="6" t="str">
        <f aca="false">IF(D39=0,"Dead Stock",IF(I39&lt;=J39,"Reorder Needed",IF(L39&gt;6,"Overstocked","Healthy")))</f>
        <v>Healthy</v>
      </c>
      <c r="N39" s="10" t="n">
        <f aca="false">F39/SUM($F$2:$F$151)</f>
        <v>0.00830059065268782</v>
      </c>
      <c r="O39" s="10" t="n">
        <f aca="false">SUMPRODUCT(($F$2:$F$151&gt;=F39)*$F$2:$F$151)/SUM($F$2:$F$151)</f>
        <v>0.655221267347222</v>
      </c>
      <c r="P39" s="6" t="str">
        <f aca="false">IF(O39&lt;=0.8,"A",IF(O39&lt;=0.95,"B","C"))</f>
        <v>A</v>
      </c>
      <c r="Q39" s="6" t="str">
        <f aca="false">IF(D39=0,"Yes","No")</f>
        <v>No</v>
      </c>
    </row>
    <row r="40" customFormat="false" ht="15" hidden="false" customHeight="true" outlineLevel="0" collapsed="false">
      <c r="A40" s="3" t="str">
        <f aca="false">'Raw Data'!A40</f>
        <v>SKU-1064</v>
      </c>
      <c r="B40" s="3" t="str">
        <f aca="false">'Raw Data'!B40</f>
        <v>Bravo Jeans E9</v>
      </c>
      <c r="C40" s="3" t="str">
        <f aca="false">'Raw Data'!C40</f>
        <v>Apparel</v>
      </c>
      <c r="D40" s="3" t="n">
        <f aca="false">SUM('Raw Data'!K40:P40)</f>
        <v>91</v>
      </c>
      <c r="E40" s="4" t="n">
        <f aca="false">D40/6</f>
        <v>15.1666666666667</v>
      </c>
      <c r="F40" s="5" t="n">
        <f aca="false">D40*'Raw Data'!G40</f>
        <v>1057420</v>
      </c>
      <c r="G40" s="5" t="n">
        <f aca="false">D40*'Raw Data'!F40</f>
        <v>609700</v>
      </c>
      <c r="H40" s="5" t="n">
        <f aca="false">F40-G40</f>
        <v>447720</v>
      </c>
      <c r="I40" s="3" t="n">
        <f aca="false">'Raw Data'!H40</f>
        <v>28</v>
      </c>
      <c r="J40" s="3" t="n">
        <f aca="false">'Raw Data'!I40</f>
        <v>22</v>
      </c>
      <c r="K40" s="4" t="n">
        <f aca="false">IF(I40=0,0,D40/I40)</f>
        <v>3.25</v>
      </c>
      <c r="L40" s="4" t="n">
        <f aca="false">IF(E40=0,999,I40/E40)</f>
        <v>1.84615384615385</v>
      </c>
      <c r="M40" s="6" t="str">
        <f aca="false">IF(D40=0,"Dead Stock",IF(I40&lt;=J40,"Reorder Needed",IF(L40&gt;6,"Overstocked","Healthy")))</f>
        <v>Healthy</v>
      </c>
      <c r="N40" s="7" t="n">
        <f aca="false">F40/SUM($F$2:$F$151)</f>
        <v>0.00602300900853999</v>
      </c>
      <c r="O40" s="7" t="n">
        <f aca="false">SUMPRODUCT(($F$2:$F$151&gt;=F40)*$F$2:$F$151)/SUM($F$2:$F$151)</f>
        <v>0.824975716751002</v>
      </c>
      <c r="P40" s="6" t="str">
        <f aca="false">IF(O40&lt;=0.8,"A",IF(O40&lt;=0.95,"B","C"))</f>
        <v>B</v>
      </c>
      <c r="Q40" s="6" t="str">
        <f aca="false">IF(D40=0,"Yes","No")</f>
        <v>No</v>
      </c>
    </row>
    <row r="41" customFormat="false" ht="15" hidden="false" customHeight="true" outlineLevel="0" collapsed="false">
      <c r="A41" s="6" t="str">
        <f aca="false">'Raw Data'!A41</f>
        <v>SKU-1065</v>
      </c>
      <c r="B41" s="6" t="str">
        <f aca="false">'Raw Data'!B41</f>
        <v>Coastline Jeans I10</v>
      </c>
      <c r="C41" s="6" t="str">
        <f aca="false">'Raw Data'!C41</f>
        <v>Apparel</v>
      </c>
      <c r="D41" s="6" t="n">
        <f aca="false">SUM('Raw Data'!K41:P41)</f>
        <v>12</v>
      </c>
      <c r="E41" s="8" t="n">
        <f aca="false">D41/6</f>
        <v>2</v>
      </c>
      <c r="F41" s="9" t="n">
        <f aca="false">D41*'Raw Data'!G41</f>
        <v>71760</v>
      </c>
      <c r="G41" s="9" t="n">
        <f aca="false">D41*'Raw Data'!F41</f>
        <v>55080</v>
      </c>
      <c r="H41" s="9" t="n">
        <f aca="false">F41-G41</f>
        <v>16680</v>
      </c>
      <c r="I41" s="6" t="n">
        <f aca="false">'Raw Data'!H41</f>
        <v>72</v>
      </c>
      <c r="J41" s="6" t="n">
        <f aca="false">'Raw Data'!I41</f>
        <v>5</v>
      </c>
      <c r="K41" s="8" t="n">
        <f aca="false">IF(I41=0,0,D41/I41)</f>
        <v>0.166666666666667</v>
      </c>
      <c r="L41" s="8" t="n">
        <f aca="false">IF(E41=0,999,I41/E41)</f>
        <v>36</v>
      </c>
      <c r="M41" s="6" t="str">
        <f aca="false">IF(D41=0,"Dead Stock",IF(I41&lt;=J41,"Reorder Needed",IF(L41&gt;6,"Overstocked","Healthy")))</f>
        <v>Overstocked</v>
      </c>
      <c r="N41" s="10" t="n">
        <f aca="false">F41/SUM($F$2:$F$151)</f>
        <v>0.000408741206382355</v>
      </c>
      <c r="O41" s="10" t="n">
        <f aca="false">SUMPRODUCT(($F$2:$F$151&gt;=F41)*$F$2:$F$151)/SUM($F$2:$F$151)</f>
        <v>0.998466081286528</v>
      </c>
      <c r="P41" s="6" t="str">
        <f aca="false">IF(O41&lt;=0.8,"A",IF(O41&lt;=0.95,"B","C"))</f>
        <v>C</v>
      </c>
      <c r="Q41" s="6" t="str">
        <f aca="false">IF(D41=0,"Yes","No")</f>
        <v>No</v>
      </c>
    </row>
    <row r="42" customFormat="false" ht="15" hidden="false" customHeight="true" outlineLevel="0" collapsed="false">
      <c r="A42" s="3" t="str">
        <f aca="false">'Raw Data'!A42</f>
        <v>SKU-1066</v>
      </c>
      <c r="B42" s="3" t="str">
        <f aca="false">'Raw Data'!B42</f>
        <v>Mela Hoodie F1</v>
      </c>
      <c r="C42" s="3" t="str">
        <f aca="false">'Raw Data'!C42</f>
        <v>Apparel</v>
      </c>
      <c r="D42" s="3" t="n">
        <f aca="false">SUM('Raw Data'!K42:P42)</f>
        <v>76</v>
      </c>
      <c r="E42" s="4" t="n">
        <f aca="false">D42/6</f>
        <v>12.6666666666667</v>
      </c>
      <c r="F42" s="5" t="n">
        <f aca="false">D42*'Raw Data'!G42</f>
        <v>2181200</v>
      </c>
      <c r="G42" s="5" t="n">
        <f aca="false">D42*'Raw Data'!F42</f>
        <v>999400</v>
      </c>
      <c r="H42" s="5" t="n">
        <f aca="false">F42-G42</f>
        <v>1181800</v>
      </c>
      <c r="I42" s="3" t="n">
        <f aca="false">'Raw Data'!H42</f>
        <v>68</v>
      </c>
      <c r="J42" s="3" t="n">
        <f aca="false">'Raw Data'!I42</f>
        <v>19</v>
      </c>
      <c r="K42" s="4" t="n">
        <f aca="false">IF(I42=0,0,D42/I42)</f>
        <v>1.11764705882353</v>
      </c>
      <c r="L42" s="4" t="n">
        <f aca="false">IF(E42=0,999,I42/E42)</f>
        <v>5.36842105263158</v>
      </c>
      <c r="M42" s="6" t="str">
        <f aca="false">IF(D42=0,"Dead Stock",IF(I42&lt;=J42,"Reorder Needed",IF(L42&gt;6,"Overstocked","Healthy")))</f>
        <v>Healthy</v>
      </c>
      <c r="N42" s="7" t="n">
        <f aca="false">F42/SUM($F$2:$F$151)</f>
        <v>0.0124240011059252</v>
      </c>
      <c r="O42" s="7" t="n">
        <f aca="false">SUMPRODUCT(($F$2:$F$151&gt;=F42)*$F$2:$F$151)/SUM($F$2:$F$151)</f>
        <v>0.465625838550299</v>
      </c>
      <c r="P42" s="6" t="str">
        <f aca="false">IF(O42&lt;=0.8,"A",IF(O42&lt;=0.95,"B","C"))</f>
        <v>A</v>
      </c>
      <c r="Q42" s="6" t="str">
        <f aca="false">IF(D42=0,"Yes","No")</f>
        <v>No</v>
      </c>
    </row>
    <row r="43" customFormat="false" ht="15" hidden="false" customHeight="true" outlineLevel="0" collapsed="false">
      <c r="A43" s="6" t="str">
        <f aca="false">'Raw Data'!A43</f>
        <v>SKU-1067</v>
      </c>
      <c r="B43" s="6" t="str">
        <f aca="false">'Raw Data'!B43</f>
        <v>Mela Hoodie A2</v>
      </c>
      <c r="C43" s="6" t="str">
        <f aca="false">'Raw Data'!C43</f>
        <v>Apparel</v>
      </c>
      <c r="D43" s="6" t="n">
        <f aca="false">SUM('Raw Data'!K43:P43)</f>
        <v>118</v>
      </c>
      <c r="E43" s="8" t="n">
        <f aca="false">D43/6</f>
        <v>19.6666666666667</v>
      </c>
      <c r="F43" s="9" t="n">
        <f aca="false">D43*'Raw Data'!G43</f>
        <v>663160</v>
      </c>
      <c r="G43" s="9" t="n">
        <f aca="false">D43*'Raw Data'!F43</f>
        <v>305620</v>
      </c>
      <c r="H43" s="9" t="n">
        <f aca="false">F43-G43</f>
        <v>357540</v>
      </c>
      <c r="I43" s="6" t="n">
        <f aca="false">'Raw Data'!H43</f>
        <v>39</v>
      </c>
      <c r="J43" s="6" t="n">
        <f aca="false">'Raw Data'!I43</f>
        <v>29</v>
      </c>
      <c r="K43" s="8" t="n">
        <f aca="false">IF(I43=0,0,D43/I43)</f>
        <v>3.02564102564103</v>
      </c>
      <c r="L43" s="8" t="n">
        <f aca="false">IF(E43=0,999,I43/E43)</f>
        <v>1.98305084745763</v>
      </c>
      <c r="M43" s="6" t="str">
        <f aca="false">IF(D43=0,"Dead Stock",IF(I43&lt;=J43,"Reorder Needed",IF(L43&gt;6,"Overstocked","Healthy")))</f>
        <v>Healthy</v>
      </c>
      <c r="N43" s="10" t="n">
        <f aca="false">F43/SUM($F$2:$F$151)</f>
        <v>0.00377732467146771</v>
      </c>
      <c r="O43" s="10" t="n">
        <f aca="false">SUMPRODUCT(($F$2:$F$151&gt;=F43)*$F$2:$F$151)/SUM($F$2:$F$151)</f>
        <v>0.887182585482932</v>
      </c>
      <c r="P43" s="6" t="str">
        <f aca="false">IF(O43&lt;=0.8,"A",IF(O43&lt;=0.95,"B","C"))</f>
        <v>B</v>
      </c>
      <c r="Q43" s="6" t="str">
        <f aca="false">IF(D43=0,"Yes","No")</f>
        <v>No</v>
      </c>
    </row>
    <row r="44" customFormat="false" ht="15" hidden="false" customHeight="true" outlineLevel="0" collapsed="false">
      <c r="A44" s="3" t="str">
        <f aca="false">'Raw Data'!A44</f>
        <v>SKU-1069</v>
      </c>
      <c r="B44" s="3" t="str">
        <f aca="false">'Raw Data'!B44</f>
        <v>Tide Hoodie B4</v>
      </c>
      <c r="C44" s="3" t="str">
        <f aca="false">'Raw Data'!C44</f>
        <v>Apparel</v>
      </c>
      <c r="D44" s="3" t="n">
        <f aca="false">SUM('Raw Data'!K44:P44)</f>
        <v>94</v>
      </c>
      <c r="E44" s="4" t="n">
        <f aca="false">D44/6</f>
        <v>15.6666666666667</v>
      </c>
      <c r="F44" s="5" t="n">
        <f aca="false">D44*'Raw Data'!G44</f>
        <v>743540</v>
      </c>
      <c r="G44" s="5" t="n">
        <f aca="false">D44*'Raw Data'!F44</f>
        <v>388220</v>
      </c>
      <c r="H44" s="5" t="n">
        <f aca="false">F44-G44</f>
        <v>355320</v>
      </c>
      <c r="I44" s="3" t="n">
        <f aca="false">'Raw Data'!H44</f>
        <v>41</v>
      </c>
      <c r="J44" s="3" t="n">
        <f aca="false">'Raw Data'!I44</f>
        <v>23</v>
      </c>
      <c r="K44" s="4" t="n">
        <f aca="false">IF(I44=0,0,D44/I44)</f>
        <v>2.29268292682927</v>
      </c>
      <c r="L44" s="4" t="n">
        <f aca="false">IF(E44=0,999,I44/E44)</f>
        <v>2.61702127659575</v>
      </c>
      <c r="M44" s="6" t="str">
        <f aca="false">IF(D44=0,"Dead Stock",IF(I44&lt;=J44,"Reorder Needed",IF(L44&gt;6,"Overstocked","Healthy")))</f>
        <v>Healthy</v>
      </c>
      <c r="N44" s="7" t="n">
        <f aca="false">F44/SUM($F$2:$F$151)</f>
        <v>0.00423516494695563</v>
      </c>
      <c r="O44" s="7" t="n">
        <f aca="false">SUMPRODUCT(($F$2:$F$151&gt;=F44)*$F$2:$F$151)/SUM($F$2:$F$151)</f>
        <v>0.875260853044493</v>
      </c>
      <c r="P44" s="6" t="str">
        <f aca="false">IF(O44&lt;=0.8,"A",IF(O44&lt;=0.95,"B","C"))</f>
        <v>B</v>
      </c>
      <c r="Q44" s="6" t="str">
        <f aca="false">IF(D44=0,"Yes","No")</f>
        <v>No</v>
      </c>
    </row>
    <row r="45" customFormat="false" ht="15" hidden="false" customHeight="true" outlineLevel="0" collapsed="false">
      <c r="A45" s="6" t="str">
        <f aca="false">'Raw Data'!A45</f>
        <v>SKU-1070</v>
      </c>
      <c r="B45" s="6" t="str">
        <f aca="false">'Raw Data'!B45</f>
        <v>Urbanix Hoodie F5</v>
      </c>
      <c r="C45" s="6" t="str">
        <f aca="false">'Raw Data'!C45</f>
        <v>Apparel</v>
      </c>
      <c r="D45" s="6" t="n">
        <f aca="false">SUM('Raw Data'!K45:P45)</f>
        <v>85</v>
      </c>
      <c r="E45" s="8" t="n">
        <f aca="false">D45/6</f>
        <v>14.1666666666667</v>
      </c>
      <c r="F45" s="9" t="n">
        <f aca="false">D45*'Raw Data'!G45</f>
        <v>1609900</v>
      </c>
      <c r="G45" s="9" t="n">
        <f aca="false">D45*'Raw Data'!F45</f>
        <v>1029350</v>
      </c>
      <c r="H45" s="9" t="n">
        <f aca="false">F45-G45</f>
        <v>580550</v>
      </c>
      <c r="I45" s="6" t="n">
        <f aca="false">'Raw Data'!H45</f>
        <v>68</v>
      </c>
      <c r="J45" s="6" t="n">
        <f aca="false">'Raw Data'!I45</f>
        <v>21</v>
      </c>
      <c r="K45" s="8" t="n">
        <f aca="false">IF(I45=0,0,D45/I45)</f>
        <v>1.25</v>
      </c>
      <c r="L45" s="8" t="n">
        <f aca="false">IF(E45=0,999,I45/E45)</f>
        <v>4.8</v>
      </c>
      <c r="M45" s="6" t="str">
        <f aca="false">IF(D45=0,"Dead Stock",IF(I45&lt;=J45,"Reorder Needed",IF(L45&gt;6,"Overstocked","Healthy")))</f>
        <v>Healthy</v>
      </c>
      <c r="N45" s="10" t="n">
        <f aca="false">F45/SUM($F$2:$F$151)</f>
        <v>0.0091699061894503</v>
      </c>
      <c r="O45" s="10" t="n">
        <f aca="false">SUMPRODUCT(($F$2:$F$151&gt;=F45)*$F$2:$F$151)/SUM($F$2:$F$151)</f>
        <v>0.620827654236153</v>
      </c>
      <c r="P45" s="6" t="str">
        <f aca="false">IF(O45&lt;=0.8,"A",IF(O45&lt;=0.95,"B","C"))</f>
        <v>A</v>
      </c>
      <c r="Q45" s="6" t="str">
        <f aca="false">IF(D45=0,"Yes","No")</f>
        <v>No</v>
      </c>
    </row>
    <row r="46" customFormat="false" ht="15" hidden="false" customHeight="true" outlineLevel="0" collapsed="false">
      <c r="A46" s="3" t="str">
        <f aca="false">'Raw Data'!A46</f>
        <v>SKU-1073</v>
      </c>
      <c r="B46" s="3" t="str">
        <f aca="false">'Raw Data'!B46</f>
        <v>Zenith Hoodie A8</v>
      </c>
      <c r="C46" s="3" t="str">
        <f aca="false">'Raw Data'!C46</f>
        <v>Apparel</v>
      </c>
      <c r="D46" s="3" t="n">
        <f aca="false">SUM('Raw Data'!K46:P46)</f>
        <v>24</v>
      </c>
      <c r="E46" s="4" t="n">
        <f aca="false">D46/6</f>
        <v>4</v>
      </c>
      <c r="F46" s="5" t="n">
        <f aca="false">D46*'Raw Data'!G46</f>
        <v>406800</v>
      </c>
      <c r="G46" s="5" t="n">
        <f aca="false">D46*'Raw Data'!F46</f>
        <v>212160</v>
      </c>
      <c r="H46" s="5" t="n">
        <f aca="false">F46-G46</f>
        <v>194640</v>
      </c>
      <c r="I46" s="3" t="n">
        <f aca="false">'Raw Data'!H46</f>
        <v>107</v>
      </c>
      <c r="J46" s="3" t="n">
        <f aca="false">'Raw Data'!I46</f>
        <v>6</v>
      </c>
      <c r="K46" s="4" t="n">
        <f aca="false">IF(I46=0,0,D46/I46)</f>
        <v>0.224299065420561</v>
      </c>
      <c r="L46" s="4" t="n">
        <f aca="false">IF(E46=0,999,I46/E46)</f>
        <v>26.75</v>
      </c>
      <c r="M46" s="6" t="str">
        <f aca="false">IF(D46=0,"Dead Stock",IF(I46&lt;=J46,"Reorder Needed",IF(L46&gt;6,"Overstocked","Healthy")))</f>
        <v>Overstocked</v>
      </c>
      <c r="N46" s="7" t="n">
        <f aca="false">F46/SUM($F$2:$F$151)</f>
        <v>0.00231711152113074</v>
      </c>
      <c r="O46" s="7" t="n">
        <f aca="false">SUMPRODUCT(($F$2:$F$151&gt;=F46)*$F$2:$F$151)/SUM($F$2:$F$151)</f>
        <v>0.946470565820065</v>
      </c>
      <c r="P46" s="6" t="str">
        <f aca="false">IF(O46&lt;=0.8,"A",IF(O46&lt;=0.95,"B","C"))</f>
        <v>B</v>
      </c>
      <c r="Q46" s="6" t="str">
        <f aca="false">IF(D46=0,"Yes","No")</f>
        <v>No</v>
      </c>
    </row>
    <row r="47" customFormat="false" ht="15" hidden="false" customHeight="true" outlineLevel="0" collapsed="false">
      <c r="A47" s="6" t="str">
        <f aca="false">'Raw Data'!A47</f>
        <v>SKU-1074</v>
      </c>
      <c r="B47" s="6" t="str">
        <f aca="false">'Raw Data'!B47</f>
        <v>Primecraft Hoodie J9</v>
      </c>
      <c r="C47" s="6" t="str">
        <f aca="false">'Raw Data'!C47</f>
        <v>Apparel</v>
      </c>
      <c r="D47" s="6" t="n">
        <f aca="false">SUM('Raw Data'!K47:P47)</f>
        <v>28</v>
      </c>
      <c r="E47" s="8" t="n">
        <f aca="false">D47/6</f>
        <v>4.66666666666667</v>
      </c>
      <c r="F47" s="9" t="n">
        <f aca="false">D47*'Raw Data'!G47</f>
        <v>241640</v>
      </c>
      <c r="G47" s="9" t="n">
        <f aca="false">D47*'Raw Data'!F47</f>
        <v>122080</v>
      </c>
      <c r="H47" s="9" t="n">
        <f aca="false">F47-G47</f>
        <v>119560</v>
      </c>
      <c r="I47" s="6" t="n">
        <f aca="false">'Raw Data'!H47</f>
        <v>34</v>
      </c>
      <c r="J47" s="6" t="n">
        <f aca="false">'Raw Data'!I47</f>
        <v>7</v>
      </c>
      <c r="K47" s="8" t="n">
        <f aca="false">IF(I47=0,0,D47/I47)</f>
        <v>0.823529411764706</v>
      </c>
      <c r="L47" s="8" t="n">
        <f aca="false">IF(E47=0,999,I47/E47)</f>
        <v>7.28571428571429</v>
      </c>
      <c r="M47" s="6" t="str">
        <f aca="false">IF(D47=0,"Dead Stock",IF(I47&lt;=J47,"Reorder Needed",IF(L47&gt;6,"Overstocked","Healthy")))</f>
        <v>Overstocked</v>
      </c>
      <c r="N47" s="10" t="n">
        <f aca="false">F47/SUM($F$2:$F$151)</f>
        <v>0.00137636880030981</v>
      </c>
      <c r="O47" s="10" t="n">
        <f aca="false">SUMPRODUCT(($F$2:$F$151&gt;=F47)*$F$2:$F$151)/SUM($F$2:$F$151)</f>
        <v>0.984642984549002</v>
      </c>
      <c r="P47" s="6" t="str">
        <f aca="false">IF(O47&lt;=0.8,"A",IF(O47&lt;=0.95,"B","C"))</f>
        <v>C</v>
      </c>
      <c r="Q47" s="6" t="str">
        <f aca="false">IF(D47=0,"Yes","No")</f>
        <v>No</v>
      </c>
    </row>
    <row r="48" customFormat="false" ht="15" hidden="false" customHeight="true" outlineLevel="0" collapsed="false">
      <c r="A48" s="3" t="str">
        <f aca="false">'Raw Data'!A48</f>
        <v>SKU-1077</v>
      </c>
      <c r="B48" s="3" t="str">
        <f aca="false">'Raw Data'!B48</f>
        <v>Drift Jacket A3</v>
      </c>
      <c r="C48" s="3" t="str">
        <f aca="false">'Raw Data'!C48</f>
        <v>Apparel</v>
      </c>
      <c r="D48" s="3" t="n">
        <f aca="false">SUM('Raw Data'!K48:P48)</f>
        <v>82</v>
      </c>
      <c r="E48" s="4" t="n">
        <f aca="false">D48/6</f>
        <v>13.6666666666667</v>
      </c>
      <c r="F48" s="5" t="n">
        <f aca="false">D48*'Raw Data'!G48</f>
        <v>528080</v>
      </c>
      <c r="G48" s="5" t="n">
        <f aca="false">D48*'Raw Data'!F48</f>
        <v>373920</v>
      </c>
      <c r="H48" s="5" t="n">
        <f aca="false">F48-G48</f>
        <v>154160</v>
      </c>
      <c r="I48" s="3" t="n">
        <f aca="false">'Raw Data'!H48</f>
        <v>80</v>
      </c>
      <c r="J48" s="3" t="n">
        <f aca="false">'Raw Data'!I48</f>
        <v>20</v>
      </c>
      <c r="K48" s="4" t="n">
        <f aca="false">IF(I48=0,0,D48/I48)</f>
        <v>1.025</v>
      </c>
      <c r="L48" s="4" t="n">
        <f aca="false">IF(E48=0,999,I48/E48)</f>
        <v>5.85365853658537</v>
      </c>
      <c r="M48" s="6" t="str">
        <f aca="false">IF(D48=0,"Dead Stock",IF(I48&lt;=J48,"Reorder Needed",IF(L48&gt;6,"Overstocked","Healthy")))</f>
        <v>Healthy</v>
      </c>
      <c r="N48" s="7" t="n">
        <f aca="false">F48/SUM($F$2:$F$151)</f>
        <v>0.003007916057224</v>
      </c>
      <c r="O48" s="7" t="n">
        <f aca="false">SUMPRODUCT(($F$2:$F$151&gt;=F48)*$F$2:$F$151)/SUM($F$2:$F$151)</f>
        <v>0.923840964355842</v>
      </c>
      <c r="P48" s="6" t="str">
        <f aca="false">IF(O48&lt;=0.8,"A",IF(O48&lt;=0.95,"B","C"))</f>
        <v>B</v>
      </c>
      <c r="Q48" s="6" t="str">
        <f aca="false">IF(D48=0,"Yes","No")</f>
        <v>No</v>
      </c>
    </row>
    <row r="49" customFormat="false" ht="15" hidden="false" customHeight="true" outlineLevel="0" collapsed="false">
      <c r="A49" s="6" t="str">
        <f aca="false">'Raw Data'!A49</f>
        <v>SKU-1078</v>
      </c>
      <c r="B49" s="6" t="str">
        <f aca="false">'Raw Data'!B49</f>
        <v>Bravo Jacket F4</v>
      </c>
      <c r="C49" s="6" t="str">
        <f aca="false">'Raw Data'!C49</f>
        <v>Apparel</v>
      </c>
      <c r="D49" s="6" t="n">
        <f aca="false">SUM('Raw Data'!K49:P49)</f>
        <v>261</v>
      </c>
      <c r="E49" s="8" t="n">
        <f aca="false">D49/6</f>
        <v>43.5</v>
      </c>
      <c r="F49" s="9" t="n">
        <f aca="false">D49*'Raw Data'!G49</f>
        <v>5400090</v>
      </c>
      <c r="G49" s="9" t="n">
        <f aca="false">D49*'Raw Data'!F49</f>
        <v>3601800</v>
      </c>
      <c r="H49" s="9" t="n">
        <f aca="false">F49-G49</f>
        <v>1798290</v>
      </c>
      <c r="I49" s="6" t="n">
        <f aca="false">'Raw Data'!H49</f>
        <v>29</v>
      </c>
      <c r="J49" s="6" t="n">
        <f aca="false">'Raw Data'!I49</f>
        <v>65</v>
      </c>
      <c r="K49" s="8" t="n">
        <f aca="false">IF(I49=0,0,D49/I49)</f>
        <v>9</v>
      </c>
      <c r="L49" s="8" t="n">
        <f aca="false">IF(E49=0,999,I49/E49)</f>
        <v>0.666666666666667</v>
      </c>
      <c r="M49" s="6" t="str">
        <f aca="false">IF(D49=0,"Dead Stock",IF(I49&lt;=J49,"Reorder Needed",IF(L49&gt;6,"Overstocked","Healthy")))</f>
        <v>Reorder Needed</v>
      </c>
      <c r="N49" s="10" t="n">
        <f aca="false">F49/SUM($F$2:$F$151)</f>
        <v>0.030758630172426</v>
      </c>
      <c r="O49" s="10" t="n">
        <f aca="false">SUMPRODUCT(($F$2:$F$151&gt;=F49)*$F$2:$F$151)/SUM($F$2:$F$151)</f>
        <v>0.030758630172426</v>
      </c>
      <c r="P49" s="6" t="str">
        <f aca="false">IF(O49&lt;=0.8,"A",IF(O49&lt;=0.95,"B","C"))</f>
        <v>A</v>
      </c>
      <c r="Q49" s="6" t="str">
        <f aca="false">IF(D49=0,"Yes","No")</f>
        <v>No</v>
      </c>
    </row>
    <row r="50" customFormat="false" ht="15" hidden="false" customHeight="true" outlineLevel="0" collapsed="false">
      <c r="A50" s="3" t="str">
        <f aca="false">'Raw Data'!A50</f>
        <v>SKU-1079</v>
      </c>
      <c r="B50" s="3" t="str">
        <f aca="false">'Raw Data'!B50</f>
        <v>Lagoona Jacket D5</v>
      </c>
      <c r="C50" s="3" t="str">
        <f aca="false">'Raw Data'!C50</f>
        <v>Apparel</v>
      </c>
      <c r="D50" s="3" t="n">
        <f aca="false">SUM('Raw Data'!K50:P50)</f>
        <v>76</v>
      </c>
      <c r="E50" s="4" t="n">
        <f aca="false">D50/6</f>
        <v>12.6666666666667</v>
      </c>
      <c r="F50" s="5" t="n">
        <f aca="false">D50*'Raw Data'!G50</f>
        <v>1448560</v>
      </c>
      <c r="G50" s="5" t="n">
        <f aca="false">D50*'Raw Data'!F50</f>
        <v>1018400</v>
      </c>
      <c r="H50" s="5" t="n">
        <f aca="false">F50-G50</f>
        <v>430160</v>
      </c>
      <c r="I50" s="3" t="n">
        <f aca="false">'Raw Data'!H50</f>
        <v>73</v>
      </c>
      <c r="J50" s="3" t="n">
        <f aca="false">'Raw Data'!I50</f>
        <v>19</v>
      </c>
      <c r="K50" s="4" t="n">
        <f aca="false">IF(I50=0,0,D50/I50)</f>
        <v>1.04109589041096</v>
      </c>
      <c r="L50" s="4" t="n">
        <f aca="false">IF(E50=0,999,I50/E50)</f>
        <v>5.76315789473684</v>
      </c>
      <c r="M50" s="6" t="str">
        <f aca="false">IF(D50=0,"Dead Stock",IF(I50&lt;=J50,"Reorder Needed",IF(L50&gt;6,"Overstocked","Healthy")))</f>
        <v>Healthy</v>
      </c>
      <c r="N50" s="7" t="n">
        <f aca="false">F50/SUM($F$2:$F$151)</f>
        <v>0.00825092198881305</v>
      </c>
      <c r="O50" s="7" t="n">
        <f aca="false">SUMPRODUCT(($F$2:$F$151&gt;=F50)*$F$2:$F$151)/SUM($F$2:$F$151)</f>
        <v>0.663472189336035</v>
      </c>
      <c r="P50" s="6" t="str">
        <f aca="false">IF(O50&lt;=0.8,"A",IF(O50&lt;=0.95,"B","C"))</f>
        <v>A</v>
      </c>
      <c r="Q50" s="6" t="str">
        <f aca="false">IF(D50=0,"Yes","No")</f>
        <v>No</v>
      </c>
    </row>
    <row r="51" customFormat="false" ht="15" hidden="false" customHeight="true" outlineLevel="0" collapsed="false">
      <c r="A51" s="6" t="str">
        <f aca="false">'Raw Data'!A51</f>
        <v>SKU-1080</v>
      </c>
      <c r="B51" s="6" t="str">
        <f aca="false">'Raw Data'!B51</f>
        <v>Tide Jacket G6</v>
      </c>
      <c r="C51" s="6" t="str">
        <f aca="false">'Raw Data'!C51</f>
        <v>Apparel</v>
      </c>
      <c r="D51" s="6" t="n">
        <f aca="false">SUM('Raw Data'!K51:P51)</f>
        <v>27</v>
      </c>
      <c r="E51" s="8" t="n">
        <f aca="false">D51/6</f>
        <v>4.5</v>
      </c>
      <c r="F51" s="9" t="n">
        <f aca="false">D51*'Raw Data'!G51</f>
        <v>592110</v>
      </c>
      <c r="G51" s="9" t="n">
        <f aca="false">D51*'Raw Data'!F51</f>
        <v>381510</v>
      </c>
      <c r="H51" s="9" t="n">
        <f aca="false">F51-G51</f>
        <v>210600</v>
      </c>
      <c r="I51" s="6" t="n">
        <f aca="false">'Raw Data'!H51</f>
        <v>112</v>
      </c>
      <c r="J51" s="6" t="n">
        <f aca="false">'Raw Data'!I51</f>
        <v>6</v>
      </c>
      <c r="K51" s="8" t="n">
        <f aca="false">IF(I51=0,0,D51/I51)</f>
        <v>0.241071428571429</v>
      </c>
      <c r="L51" s="8" t="n">
        <f aca="false">IF(E51=0,999,I51/E51)</f>
        <v>24.8888888888889</v>
      </c>
      <c r="M51" s="6" t="str">
        <f aca="false">IF(D51=0,"Dead Stock",IF(I51&lt;=J51,"Reorder Needed",IF(L51&gt;6,"Overstocked","Healthy")))</f>
        <v>Overstocked</v>
      </c>
      <c r="N51" s="10" t="n">
        <f aca="false">F51/SUM($F$2:$F$151)</f>
        <v>0.00337262758794671</v>
      </c>
      <c r="O51" s="10" t="n">
        <f aca="false">SUMPRODUCT(($F$2:$F$151&gt;=F51)*$F$2:$F$151)/SUM($F$2:$F$151)</f>
        <v>0.908486455121828</v>
      </c>
      <c r="P51" s="6" t="str">
        <f aca="false">IF(O51&lt;=0.8,"A",IF(O51&lt;=0.95,"B","C"))</f>
        <v>B</v>
      </c>
      <c r="Q51" s="6" t="str">
        <f aca="false">IF(D51=0,"Yes","No")</f>
        <v>No</v>
      </c>
    </row>
    <row r="52" customFormat="false" ht="15" hidden="false" customHeight="true" outlineLevel="0" collapsed="false">
      <c r="A52" s="3" t="str">
        <f aca="false">'Raw Data'!A52</f>
        <v>SKU-1081</v>
      </c>
      <c r="B52" s="3" t="str">
        <f aca="false">'Raw Data'!B52</f>
        <v>Drift Jacket E7</v>
      </c>
      <c r="C52" s="3" t="str">
        <f aca="false">'Raw Data'!C52</f>
        <v>Apparel</v>
      </c>
      <c r="D52" s="3" t="n">
        <f aca="false">SUM('Raw Data'!K52:P52)</f>
        <v>19</v>
      </c>
      <c r="E52" s="4" t="n">
        <f aca="false">D52/6</f>
        <v>3.16666666666667</v>
      </c>
      <c r="F52" s="5" t="n">
        <f aca="false">D52*'Raw Data'!G52</f>
        <v>93670</v>
      </c>
      <c r="G52" s="5" t="n">
        <f aca="false">D52*'Raw Data'!F52</f>
        <v>66500</v>
      </c>
      <c r="H52" s="5" t="n">
        <f aca="false">F52-G52</f>
        <v>27170</v>
      </c>
      <c r="I52" s="3" t="n">
        <f aca="false">'Raw Data'!H52</f>
        <v>61</v>
      </c>
      <c r="J52" s="3" t="n">
        <f aca="false">'Raw Data'!I52</f>
        <v>5</v>
      </c>
      <c r="K52" s="4" t="n">
        <f aca="false">IF(I52=0,0,D52/I52)</f>
        <v>0.311475409836066</v>
      </c>
      <c r="L52" s="4" t="n">
        <f aca="false">IF(E52=0,999,I52/E52)</f>
        <v>19.2631578947368</v>
      </c>
      <c r="M52" s="6" t="str">
        <f aca="false">IF(D52=0,"Dead Stock",IF(I52&lt;=J52,"Reorder Needed",IF(L52&gt;6,"Overstocked","Healthy")))</f>
        <v>Overstocked</v>
      </c>
      <c r="N52" s="7" t="n">
        <f aca="false">F52/SUM($F$2:$F$151)</f>
        <v>0.000533539420315429</v>
      </c>
      <c r="O52" s="7" t="n">
        <f aca="false">SUMPRODUCT(($F$2:$F$151&gt;=F52)*$F$2:$F$151)/SUM($F$2:$F$151)</f>
        <v>0.998057340080145</v>
      </c>
      <c r="P52" s="6" t="str">
        <f aca="false">IF(O52&lt;=0.8,"A",IF(O52&lt;=0.95,"B","C"))</f>
        <v>C</v>
      </c>
      <c r="Q52" s="6" t="str">
        <f aca="false">IF(D52=0,"Yes","No")</f>
        <v>No</v>
      </c>
    </row>
    <row r="53" customFormat="false" ht="15" hidden="false" customHeight="true" outlineLevel="0" collapsed="false">
      <c r="A53" s="6" t="str">
        <f aca="false">'Raw Data'!A53</f>
        <v>SKU-1082</v>
      </c>
      <c r="B53" s="6" t="str">
        <f aca="false">'Raw Data'!B53</f>
        <v>Primecraft Jacket B8</v>
      </c>
      <c r="C53" s="6" t="str">
        <f aca="false">'Raw Data'!C53</f>
        <v>Apparel</v>
      </c>
      <c r="D53" s="6" t="n">
        <f aca="false">SUM('Raw Data'!K53:P53)</f>
        <v>72</v>
      </c>
      <c r="E53" s="8" t="n">
        <f aca="false">D53/6</f>
        <v>12</v>
      </c>
      <c r="F53" s="9" t="n">
        <f aca="false">D53*'Raw Data'!G53</f>
        <v>1629360</v>
      </c>
      <c r="G53" s="9" t="n">
        <f aca="false">D53*'Raw Data'!F53</f>
        <v>905760</v>
      </c>
      <c r="H53" s="9" t="n">
        <f aca="false">F53-G53</f>
        <v>723600</v>
      </c>
      <c r="I53" s="6" t="n">
        <f aca="false">'Raw Data'!H53</f>
        <v>38</v>
      </c>
      <c r="J53" s="6" t="n">
        <f aca="false">'Raw Data'!I53</f>
        <v>18</v>
      </c>
      <c r="K53" s="8" t="n">
        <f aca="false">IF(I53=0,0,D53/I53)</f>
        <v>1.89473684210526</v>
      </c>
      <c r="L53" s="8" t="n">
        <f aca="false">IF(E53=0,999,I53/E53)</f>
        <v>3.16666666666667</v>
      </c>
      <c r="M53" s="6" t="str">
        <f aca="false">IF(D53=0,"Dead Stock",IF(I53&lt;=J53,"Reorder Needed",IF(L53&gt;6,"Overstocked","Healthy")))</f>
        <v>Healthy</v>
      </c>
      <c r="N53" s="10" t="n">
        <f aca="false">F53/SUM($F$2:$F$151)</f>
        <v>0.00928074933153782</v>
      </c>
      <c r="O53" s="10" t="n">
        <f aca="false">SUMPRODUCT(($F$2:$F$151&gt;=F53)*$F$2:$F$151)/SUM($F$2:$F$151)</f>
        <v>0.60241390845621</v>
      </c>
      <c r="P53" s="6" t="str">
        <f aca="false">IF(O53&lt;=0.8,"A",IF(O53&lt;=0.95,"B","C"))</f>
        <v>A</v>
      </c>
      <c r="Q53" s="6" t="str">
        <f aca="false">IF(D53=0,"Yes","No")</f>
        <v>No</v>
      </c>
    </row>
    <row r="54" customFormat="false" ht="15" hidden="false" customHeight="true" outlineLevel="0" collapsed="false">
      <c r="A54" s="3" t="str">
        <f aca="false">'Raw Data'!A54</f>
        <v>SKU-1083</v>
      </c>
      <c r="B54" s="3" t="str">
        <f aca="false">'Raw Data'!B54</f>
        <v>Zenith Jacket C9</v>
      </c>
      <c r="C54" s="3" t="str">
        <f aca="false">'Raw Data'!C54</f>
        <v>Apparel</v>
      </c>
      <c r="D54" s="3" t="n">
        <f aca="false">SUM('Raw Data'!K54:P54)</f>
        <v>241</v>
      </c>
      <c r="E54" s="4" t="n">
        <f aca="false">D54/6</f>
        <v>40.1666666666667</v>
      </c>
      <c r="F54" s="5" t="n">
        <f aca="false">D54*'Raw Data'!G54</f>
        <v>1183310</v>
      </c>
      <c r="G54" s="5" t="n">
        <f aca="false">D54*'Raw Data'!F54</f>
        <v>568760</v>
      </c>
      <c r="H54" s="5" t="n">
        <f aca="false">F54-G54</f>
        <v>614550</v>
      </c>
      <c r="I54" s="3" t="n">
        <f aca="false">'Raw Data'!H54</f>
        <v>36</v>
      </c>
      <c r="J54" s="3" t="n">
        <f aca="false">'Raw Data'!I54</f>
        <v>60</v>
      </c>
      <c r="K54" s="4" t="n">
        <f aca="false">IF(I54=0,0,D54/I54)</f>
        <v>6.69444444444445</v>
      </c>
      <c r="L54" s="4" t="n">
        <f aca="false">IF(E54=0,999,I54/E54)</f>
        <v>0.896265560165975</v>
      </c>
      <c r="M54" s="6" t="str">
        <f aca="false">IF(D54=0,"Dead Stock",IF(I54&lt;=J54,"Reorder Needed",IF(L54&gt;6,"Overstocked","Healthy")))</f>
        <v>Reorder Needed</v>
      </c>
      <c r="N54" s="7" t="n">
        <f aca="false">F54/SUM($F$2:$F$151)</f>
        <v>0.00674007186349365</v>
      </c>
      <c r="O54" s="7" t="n">
        <f aca="false">SUMPRODUCT(($F$2:$F$151&gt;=F54)*$F$2:$F$151)/SUM($F$2:$F$151)</f>
        <v>0.774541574465887</v>
      </c>
      <c r="P54" s="6" t="str">
        <f aca="false">IF(O54&lt;=0.8,"A",IF(O54&lt;=0.95,"B","C"))</f>
        <v>A</v>
      </c>
      <c r="Q54" s="6" t="str">
        <f aca="false">IF(D54=0,"Yes","No")</f>
        <v>No</v>
      </c>
    </row>
    <row r="55" customFormat="false" ht="15" hidden="false" customHeight="true" outlineLevel="0" collapsed="false">
      <c r="A55" s="6" t="str">
        <f aca="false">'Raw Data'!A55</f>
        <v>SKU-1084</v>
      </c>
      <c r="B55" s="6" t="str">
        <f aca="false">'Raw Data'!B55</f>
        <v>Lagoona Jacket H10</v>
      </c>
      <c r="C55" s="6" t="str">
        <f aca="false">'Raw Data'!C55</f>
        <v>Apparel</v>
      </c>
      <c r="D55" s="6" t="n">
        <f aca="false">SUM('Raw Data'!K55:P55)</f>
        <v>76</v>
      </c>
      <c r="E55" s="8" t="n">
        <f aca="false">D55/6</f>
        <v>12.6666666666667</v>
      </c>
      <c r="F55" s="9" t="n">
        <f aca="false">D55*'Raw Data'!G55</f>
        <v>886160</v>
      </c>
      <c r="G55" s="9" t="n">
        <f aca="false">D55*'Raw Data'!F55</f>
        <v>544920</v>
      </c>
      <c r="H55" s="9" t="n">
        <f aca="false">F55-G55</f>
        <v>341240</v>
      </c>
      <c r="I55" s="6" t="n">
        <f aca="false">'Raw Data'!H55</f>
        <v>58</v>
      </c>
      <c r="J55" s="6" t="n">
        <f aca="false">'Raw Data'!I55</f>
        <v>19</v>
      </c>
      <c r="K55" s="8" t="n">
        <f aca="false">IF(I55=0,0,D55/I55)</f>
        <v>1.31034482758621</v>
      </c>
      <c r="L55" s="8" t="n">
        <f aca="false">IF(E55=0,999,I55/E55)</f>
        <v>4.57894736842105</v>
      </c>
      <c r="M55" s="6" t="str">
        <f aca="false">IF(D55=0,"Dead Stock",IF(I55&lt;=J55,"Reorder Needed",IF(L55&gt;6,"Overstocked","Healthy")))</f>
        <v>Healthy</v>
      </c>
      <c r="N55" s="10" t="n">
        <f aca="false">F55/SUM($F$2:$F$151)</f>
        <v>0.00504752100679749</v>
      </c>
      <c r="O55" s="10" t="n">
        <f aca="false">SUMPRODUCT(($F$2:$F$151&gt;=F55)*$F$2:$F$151)/SUM($F$2:$F$151)</f>
        <v>0.852050321875156</v>
      </c>
      <c r="P55" s="6" t="str">
        <f aca="false">IF(O55&lt;=0.8,"A",IF(O55&lt;=0.95,"B","C"))</f>
        <v>B</v>
      </c>
      <c r="Q55" s="6" t="str">
        <f aca="false">IF(D55=0,"Yes","No")</f>
        <v>No</v>
      </c>
    </row>
    <row r="56" customFormat="false" ht="15" hidden="false" customHeight="true" outlineLevel="0" collapsed="false">
      <c r="A56" s="3" t="str">
        <f aca="false">'Raw Data'!A56</f>
        <v>SKU-1085</v>
      </c>
      <c r="B56" s="3" t="str">
        <f aca="false">'Raw Data'!B56</f>
        <v>Mela Dress G1</v>
      </c>
      <c r="C56" s="3" t="str">
        <f aca="false">'Raw Data'!C56</f>
        <v>Apparel</v>
      </c>
      <c r="D56" s="3" t="n">
        <f aca="false">SUM('Raw Data'!K56:P56)</f>
        <v>23</v>
      </c>
      <c r="E56" s="4" t="n">
        <f aca="false">D56/6</f>
        <v>3.83333333333333</v>
      </c>
      <c r="F56" s="5" t="n">
        <f aca="false">D56*'Raw Data'!G56</f>
        <v>220110</v>
      </c>
      <c r="G56" s="5" t="n">
        <f aca="false">D56*'Raw Data'!F56</f>
        <v>157550</v>
      </c>
      <c r="H56" s="5" t="n">
        <f aca="false">F56-G56</f>
        <v>62560</v>
      </c>
      <c r="I56" s="3" t="n">
        <f aca="false">'Raw Data'!H56</f>
        <v>104</v>
      </c>
      <c r="J56" s="3" t="n">
        <f aca="false">'Raw Data'!I56</f>
        <v>5</v>
      </c>
      <c r="K56" s="4" t="n">
        <f aca="false">IF(I56=0,0,D56/I56)</f>
        <v>0.221153846153846</v>
      </c>
      <c r="L56" s="4" t="n">
        <f aca="false">IF(E56=0,999,I56/E56)</f>
        <v>27.1304347826087</v>
      </c>
      <c r="M56" s="6" t="str">
        <f aca="false">IF(D56=0,"Dead Stock",IF(I56&lt;=J56,"Reorder Needed",IF(L56&gt;6,"Overstocked","Healthy")))</f>
        <v>Overstocked</v>
      </c>
      <c r="N56" s="7" t="n">
        <f aca="false">F56/SUM($F$2:$F$151)</f>
        <v>0.00125373504649972</v>
      </c>
      <c r="O56" s="7" t="n">
        <f aca="false">SUMPRODUCT(($F$2:$F$151&gt;=F56)*$F$2:$F$151)/SUM($F$2:$F$151)</f>
        <v>0.987213622701906</v>
      </c>
      <c r="P56" s="6" t="str">
        <f aca="false">IF(O56&lt;=0.8,"A",IF(O56&lt;=0.95,"B","C"))</f>
        <v>C</v>
      </c>
      <c r="Q56" s="6" t="str">
        <f aca="false">IF(D56=0,"Yes","No")</f>
        <v>No</v>
      </c>
    </row>
    <row r="57" customFormat="false" ht="15" hidden="false" customHeight="true" outlineLevel="0" collapsed="false">
      <c r="A57" s="6" t="str">
        <f aca="false">'Raw Data'!A57</f>
        <v>SKU-1086</v>
      </c>
      <c r="B57" s="6" t="str">
        <f aca="false">'Raw Data'!B57</f>
        <v>Drift Dress J2</v>
      </c>
      <c r="C57" s="6" t="str">
        <f aca="false">'Raw Data'!C57</f>
        <v>Apparel</v>
      </c>
      <c r="D57" s="6" t="n">
        <f aca="false">SUM('Raw Data'!K57:P57)</f>
        <v>90</v>
      </c>
      <c r="E57" s="8" t="n">
        <f aca="false">D57/6</f>
        <v>15</v>
      </c>
      <c r="F57" s="9" t="n">
        <f aca="false">D57*'Raw Data'!G57</f>
        <v>1280700</v>
      </c>
      <c r="G57" s="9" t="n">
        <f aca="false">D57*'Raw Data'!F57</f>
        <v>749700</v>
      </c>
      <c r="H57" s="9" t="n">
        <f aca="false">F57-G57</f>
        <v>531000</v>
      </c>
      <c r="I57" s="6" t="n">
        <f aca="false">'Raw Data'!H57</f>
        <v>47</v>
      </c>
      <c r="J57" s="6" t="n">
        <f aca="false">'Raw Data'!I57</f>
        <v>22</v>
      </c>
      <c r="K57" s="8" t="n">
        <f aca="false">IF(I57=0,0,D57/I57)</f>
        <v>1.91489361702128</v>
      </c>
      <c r="L57" s="8" t="n">
        <f aca="false">IF(E57=0,999,I57/E57)</f>
        <v>3.13333333333333</v>
      </c>
      <c r="M57" s="6" t="str">
        <f aca="false">IF(D57=0,"Dead Stock",IF(I57&lt;=J57,"Reorder Needed",IF(L57&gt;6,"Overstocked","Healthy")))</f>
        <v>Healthy</v>
      </c>
      <c r="N57" s="10" t="n">
        <f aca="false">F57/SUM($F$2:$F$151)</f>
        <v>0.00729480020922355</v>
      </c>
      <c r="O57" s="10" t="n">
        <f aca="false">SUMPRODUCT(($F$2:$F$151&gt;=F57)*$F$2:$F$151)/SUM($F$2:$F$151)</f>
        <v>0.725426157990438</v>
      </c>
      <c r="P57" s="6" t="str">
        <f aca="false">IF(O57&lt;=0.8,"A",IF(O57&lt;=0.95,"B","C"))</f>
        <v>A</v>
      </c>
      <c r="Q57" s="6" t="str">
        <f aca="false">IF(D57=0,"Yes","No")</f>
        <v>No</v>
      </c>
    </row>
    <row r="58" customFormat="false" ht="15" hidden="false" customHeight="true" outlineLevel="0" collapsed="false">
      <c r="A58" s="3" t="str">
        <f aca="false">'Raw Data'!A58</f>
        <v>SKU-1090</v>
      </c>
      <c r="B58" s="3" t="str">
        <f aca="false">'Raw Data'!B58</f>
        <v>Drift Dress I6</v>
      </c>
      <c r="C58" s="3" t="str">
        <f aca="false">'Raw Data'!C58</f>
        <v>Apparel</v>
      </c>
      <c r="D58" s="3" t="n">
        <f aca="false">SUM('Raw Data'!K58:P58)</f>
        <v>93</v>
      </c>
      <c r="E58" s="4" t="n">
        <f aca="false">D58/6</f>
        <v>15.5</v>
      </c>
      <c r="F58" s="5" t="n">
        <f aca="false">D58*'Raw Data'!G58</f>
        <v>2773260</v>
      </c>
      <c r="G58" s="5" t="n">
        <f aca="false">D58*'Raw Data'!F58</f>
        <v>1361520</v>
      </c>
      <c r="H58" s="5" t="n">
        <f aca="false">F58-G58</f>
        <v>1411740</v>
      </c>
      <c r="I58" s="3" t="n">
        <f aca="false">'Raw Data'!H58</f>
        <v>59</v>
      </c>
      <c r="J58" s="3" t="n">
        <f aca="false">'Raw Data'!I58</f>
        <v>23</v>
      </c>
      <c r="K58" s="4" t="n">
        <f aca="false">IF(I58=0,0,D58/I58)</f>
        <v>1.57627118644068</v>
      </c>
      <c r="L58" s="4" t="n">
        <f aca="false">IF(E58=0,999,I58/E58)</f>
        <v>3.80645161290323</v>
      </c>
      <c r="M58" s="6" t="str">
        <f aca="false">IF(D58=0,"Dead Stock",IF(I58&lt;=J58,"Reorder Needed",IF(L58&gt;6,"Overstocked","Healthy")))</f>
        <v>Healthy</v>
      </c>
      <c r="N58" s="7" t="n">
        <f aca="false">F58/SUM($F$2:$F$151)</f>
        <v>0.0157963438964873</v>
      </c>
      <c r="O58" s="7" t="n">
        <f aca="false">SUMPRODUCT(($F$2:$F$151&gt;=F58)*$F$2:$F$151)/SUM($F$2:$F$151)</f>
        <v>0.38156857399842</v>
      </c>
      <c r="P58" s="6" t="str">
        <f aca="false">IF(O58&lt;=0.8,"A",IF(O58&lt;=0.95,"B","C"))</f>
        <v>A</v>
      </c>
      <c r="Q58" s="6" t="str">
        <f aca="false">IF(D58=0,"Yes","No")</f>
        <v>No</v>
      </c>
    </row>
    <row r="59" customFormat="false" ht="15" hidden="false" customHeight="true" outlineLevel="0" collapsed="false">
      <c r="A59" s="6" t="str">
        <f aca="false">'Raw Data'!A59</f>
        <v>SKU-1091</v>
      </c>
      <c r="B59" s="6" t="str">
        <f aca="false">'Raw Data'!B59</f>
        <v>Urbanix Dress C7</v>
      </c>
      <c r="C59" s="6" t="str">
        <f aca="false">'Raw Data'!C59</f>
        <v>Apparel</v>
      </c>
      <c r="D59" s="6" t="n">
        <f aca="false">SUM('Raw Data'!K59:P59)</f>
        <v>114</v>
      </c>
      <c r="E59" s="8" t="n">
        <f aca="false">D59/6</f>
        <v>19</v>
      </c>
      <c r="F59" s="9" t="n">
        <f aca="false">D59*'Raw Data'!G59</f>
        <v>2713200</v>
      </c>
      <c r="G59" s="9" t="n">
        <f aca="false">D59*'Raw Data'!F59</f>
        <v>1499100</v>
      </c>
      <c r="H59" s="9" t="n">
        <f aca="false">F59-G59</f>
        <v>1214100</v>
      </c>
      <c r="I59" s="6" t="n">
        <f aca="false">'Raw Data'!H59</f>
        <v>63</v>
      </c>
      <c r="J59" s="6" t="n">
        <f aca="false">'Raw Data'!I59</f>
        <v>28</v>
      </c>
      <c r="K59" s="8" t="n">
        <f aca="false">IF(I59=0,0,D59/I59)</f>
        <v>1.80952380952381</v>
      </c>
      <c r="L59" s="8" t="n">
        <f aca="false">IF(E59=0,999,I59/E59)</f>
        <v>3.31578947368421</v>
      </c>
      <c r="M59" s="6" t="str">
        <f aca="false">IF(D59=0,"Dead Stock",IF(I59&lt;=J59,"Reorder Needed",IF(L59&gt;6,"Overstocked","Healthy")))</f>
        <v>Healthy</v>
      </c>
      <c r="N59" s="10" t="n">
        <f aca="false">F59/SUM($F$2:$F$151)</f>
        <v>0.0154542452781021</v>
      </c>
      <c r="O59" s="10" t="n">
        <f aca="false">SUMPRODUCT(($F$2:$F$151&gt;=F59)*$F$2:$F$151)/SUM($F$2:$F$151)</f>
        <v>0.397022819276522</v>
      </c>
      <c r="P59" s="6" t="str">
        <f aca="false">IF(O59&lt;=0.8,"A",IF(O59&lt;=0.95,"B","C"))</f>
        <v>A</v>
      </c>
      <c r="Q59" s="6" t="str">
        <f aca="false">IF(D59=0,"Yes","No")</f>
        <v>No</v>
      </c>
    </row>
    <row r="60" customFormat="false" ht="15" hidden="false" customHeight="true" outlineLevel="0" collapsed="false">
      <c r="A60" s="3" t="str">
        <f aca="false">'Raw Data'!A60</f>
        <v>SKU-1094</v>
      </c>
      <c r="B60" s="3" t="str">
        <f aca="false">'Raw Data'!B60</f>
        <v>Primecraft Bluetooth Speaker E2</v>
      </c>
      <c r="C60" s="3" t="str">
        <f aca="false">'Raw Data'!C60</f>
        <v>Electronics</v>
      </c>
      <c r="D60" s="3" t="n">
        <f aca="false">SUM('Raw Data'!K60:P60)</f>
        <v>22</v>
      </c>
      <c r="E60" s="4" t="n">
        <f aca="false">D60/6</f>
        <v>3.66666666666667</v>
      </c>
      <c r="F60" s="5" t="n">
        <f aca="false">D60*'Raw Data'!G60</f>
        <v>622820</v>
      </c>
      <c r="G60" s="5" t="n">
        <f aca="false">D60*'Raw Data'!F60</f>
        <v>312840</v>
      </c>
      <c r="H60" s="5" t="n">
        <f aca="false">F60-G60</f>
        <v>309980</v>
      </c>
      <c r="I60" s="3" t="n">
        <f aca="false">'Raw Data'!H60</f>
        <v>59</v>
      </c>
      <c r="J60" s="3" t="n">
        <f aca="false">'Raw Data'!I60</f>
        <v>5</v>
      </c>
      <c r="K60" s="4" t="n">
        <f aca="false">IF(I60=0,0,D60/I60)</f>
        <v>0.372881355932203</v>
      </c>
      <c r="L60" s="4" t="n">
        <f aca="false">IF(E60=0,999,I60/E60)</f>
        <v>16.0909090909091</v>
      </c>
      <c r="M60" s="6" t="str">
        <f aca="false">IF(D60=0,"Dead Stock",IF(I60&lt;=J60,"Reorder Needed",IF(L60&gt;6,"Overstocked","Healthy")))</f>
        <v>Overstocked</v>
      </c>
      <c r="N60" s="7" t="n">
        <f aca="false">F60/SUM($F$2:$F$151)</f>
        <v>0.00354755014156993</v>
      </c>
      <c r="O60" s="7" t="n">
        <f aca="false">SUMPRODUCT(($F$2:$F$151&gt;=F60)*$F$2:$F$151)/SUM($F$2:$F$151)</f>
        <v>0.90169170216049</v>
      </c>
      <c r="P60" s="6" t="str">
        <f aca="false">IF(O60&lt;=0.8,"A",IF(O60&lt;=0.95,"B","C"))</f>
        <v>B</v>
      </c>
      <c r="Q60" s="6" t="str">
        <f aca="false">IF(D60=0,"Yes","No")</f>
        <v>No</v>
      </c>
    </row>
    <row r="61" customFormat="false" ht="15" hidden="false" customHeight="true" outlineLevel="0" collapsed="false">
      <c r="A61" s="6" t="str">
        <f aca="false">'Raw Data'!A61</f>
        <v>SKU-1095</v>
      </c>
      <c r="B61" s="6" t="str">
        <f aca="false">'Raw Data'!B61</f>
        <v>Coastline Bluetooth Speaker B3</v>
      </c>
      <c r="C61" s="6" t="str">
        <f aca="false">'Raw Data'!C61</f>
        <v>Electronics</v>
      </c>
      <c r="D61" s="6" t="n">
        <f aca="false">SUM('Raw Data'!K61:P61)</f>
        <v>87</v>
      </c>
      <c r="E61" s="8" t="n">
        <f aca="false">D61/6</f>
        <v>14.5</v>
      </c>
      <c r="F61" s="9" t="n">
        <f aca="false">D61*'Raw Data'!G61</f>
        <v>1102290</v>
      </c>
      <c r="G61" s="9" t="n">
        <f aca="false">D61*'Raw Data'!F61</f>
        <v>560280</v>
      </c>
      <c r="H61" s="9" t="n">
        <f aca="false">F61-G61</f>
        <v>542010</v>
      </c>
      <c r="I61" s="6" t="n">
        <f aca="false">'Raw Data'!H61</f>
        <v>57</v>
      </c>
      <c r="J61" s="6" t="n">
        <f aca="false">'Raw Data'!I61</f>
        <v>21</v>
      </c>
      <c r="K61" s="8" t="n">
        <f aca="false">IF(I61=0,0,D61/I61)</f>
        <v>1.52631578947368</v>
      </c>
      <c r="L61" s="8" t="n">
        <f aca="false">IF(E61=0,999,I61/E61)</f>
        <v>3.93103448275862</v>
      </c>
      <c r="M61" s="6" t="str">
        <f aca="false">IF(D61=0,"Dead Stock",IF(I61&lt;=J61,"Reorder Needed",IF(L61&gt;6,"Overstocked","Healthy")))</f>
        <v>Healthy</v>
      </c>
      <c r="N61" s="10" t="n">
        <f aca="false">F61/SUM($F$2:$F$151)</f>
        <v>0.0062785861814828</v>
      </c>
      <c r="O61" s="10" t="n">
        <f aca="false">SUMPRODUCT(($F$2:$F$151&gt;=F61)*$F$2:$F$151)/SUM($F$2:$F$151)</f>
        <v>0.80669012979413</v>
      </c>
      <c r="P61" s="6" t="str">
        <f aca="false">IF(O61&lt;=0.8,"A",IF(O61&lt;=0.95,"B","C"))</f>
        <v>B</v>
      </c>
      <c r="Q61" s="6" t="str">
        <f aca="false">IF(D61=0,"Yes","No")</f>
        <v>No</v>
      </c>
    </row>
    <row r="62" customFormat="false" ht="15" hidden="false" customHeight="true" outlineLevel="0" collapsed="false">
      <c r="A62" s="3" t="str">
        <f aca="false">'Raw Data'!A62</f>
        <v>SKU-1096</v>
      </c>
      <c r="B62" s="3" t="str">
        <f aca="false">'Raw Data'!B62</f>
        <v>Urbanix Bluetooth Speaker F4</v>
      </c>
      <c r="C62" s="3" t="str">
        <f aca="false">'Raw Data'!C62</f>
        <v>Electronics</v>
      </c>
      <c r="D62" s="3" t="n">
        <f aca="false">SUM('Raw Data'!K62:P62)</f>
        <v>76</v>
      </c>
      <c r="E62" s="4" t="n">
        <f aca="false">D62/6</f>
        <v>12.6666666666667</v>
      </c>
      <c r="F62" s="5" t="n">
        <f aca="false">D62*'Raw Data'!G62</f>
        <v>530480</v>
      </c>
      <c r="G62" s="5" t="n">
        <f aca="false">D62*'Raw Data'!F62</f>
        <v>246240</v>
      </c>
      <c r="H62" s="5" t="n">
        <f aca="false">F62-G62</f>
        <v>284240</v>
      </c>
      <c r="I62" s="3" t="n">
        <f aca="false">'Raw Data'!H62</f>
        <v>30</v>
      </c>
      <c r="J62" s="3" t="n">
        <f aca="false">'Raw Data'!I62</f>
        <v>19</v>
      </c>
      <c r="K62" s="4" t="n">
        <f aca="false">IF(I62=0,0,D62/I62)</f>
        <v>2.53333333333333</v>
      </c>
      <c r="L62" s="4" t="n">
        <f aca="false">IF(E62=0,999,I62/E62)</f>
        <v>2.36842105263158</v>
      </c>
      <c r="M62" s="6" t="str">
        <f aca="false">IF(D62=0,"Dead Stock",IF(I62&lt;=J62,"Reorder Needed",IF(L62&gt;6,"Overstocked","Healthy")))</f>
        <v>Healthy</v>
      </c>
      <c r="N62" s="7" t="n">
        <f aca="false">F62/SUM($F$2:$F$151)</f>
        <v>0.00302158633168495</v>
      </c>
      <c r="O62" s="7" t="n">
        <f aca="false">SUMPRODUCT(($F$2:$F$151&gt;=F62)*$F$2:$F$151)/SUM($F$2:$F$151)</f>
        <v>0.920833048298618</v>
      </c>
      <c r="P62" s="6" t="str">
        <f aca="false">IF(O62&lt;=0.8,"A",IF(O62&lt;=0.95,"B","C"))</f>
        <v>B</v>
      </c>
      <c r="Q62" s="6" t="str">
        <f aca="false">IF(D62=0,"Yes","No")</f>
        <v>No</v>
      </c>
    </row>
    <row r="63" customFormat="false" ht="15" hidden="false" customHeight="true" outlineLevel="0" collapsed="false">
      <c r="A63" s="6" t="str">
        <f aca="false">'Raw Data'!A63</f>
        <v>SKU-1099</v>
      </c>
      <c r="B63" s="6" t="str">
        <f aca="false">'Raw Data'!B63</f>
        <v>Coastline Bluetooth Speaker F7</v>
      </c>
      <c r="C63" s="6" t="str">
        <f aca="false">'Raw Data'!C63</f>
        <v>Electronics</v>
      </c>
      <c r="D63" s="6" t="n">
        <f aca="false">SUM('Raw Data'!K63:P63)</f>
        <v>100</v>
      </c>
      <c r="E63" s="8" t="n">
        <f aca="false">D63/6</f>
        <v>16.6666666666667</v>
      </c>
      <c r="F63" s="9" t="n">
        <f aca="false">D63*'Raw Data'!G63</f>
        <v>400000</v>
      </c>
      <c r="G63" s="9" t="n">
        <f aca="false">D63*'Raw Data'!F63</f>
        <v>294000</v>
      </c>
      <c r="H63" s="9" t="n">
        <f aca="false">F63-G63</f>
        <v>106000</v>
      </c>
      <c r="I63" s="6" t="n">
        <f aca="false">'Raw Data'!H63</f>
        <v>27</v>
      </c>
      <c r="J63" s="6" t="n">
        <f aca="false">'Raw Data'!I63</f>
        <v>25</v>
      </c>
      <c r="K63" s="8" t="n">
        <f aca="false">IF(I63=0,0,D63/I63)</f>
        <v>3.7037037037037</v>
      </c>
      <c r="L63" s="8" t="n">
        <f aca="false">IF(E63=0,999,I63/E63)</f>
        <v>1.62</v>
      </c>
      <c r="M63" s="6" t="str">
        <f aca="false">IF(D63=0,"Dead Stock",IF(I63&lt;=J63,"Reorder Needed",IF(L63&gt;6,"Overstocked","Healthy")))</f>
        <v>Healthy</v>
      </c>
      <c r="N63" s="10" t="n">
        <f aca="false">F63/SUM($F$2:$F$151)</f>
        <v>0.00227837907682472</v>
      </c>
      <c r="O63" s="10" t="n">
        <f aca="false">SUMPRODUCT(($F$2:$F$151&gt;=F63)*$F$2:$F$151)/SUM($F$2:$F$151)</f>
        <v>0.948748944896889</v>
      </c>
      <c r="P63" s="6" t="str">
        <f aca="false">IF(O63&lt;=0.8,"A",IF(O63&lt;=0.95,"B","C"))</f>
        <v>B</v>
      </c>
      <c r="Q63" s="6" t="str">
        <f aca="false">IF(D63=0,"Yes","No")</f>
        <v>No</v>
      </c>
    </row>
    <row r="64" customFormat="false" ht="15" hidden="false" customHeight="true" outlineLevel="0" collapsed="false">
      <c r="A64" s="3" t="str">
        <f aca="false">'Raw Data'!A64</f>
        <v>SKU-1100</v>
      </c>
      <c r="B64" s="3" t="str">
        <f aca="false">'Raw Data'!B64</f>
        <v>Lagoona Bluetooth Speaker B8</v>
      </c>
      <c r="C64" s="3" t="str">
        <f aca="false">'Raw Data'!C64</f>
        <v>Electronics</v>
      </c>
      <c r="D64" s="3" t="n">
        <f aca="false">SUM('Raw Data'!K64:P64)</f>
        <v>73</v>
      </c>
      <c r="E64" s="4" t="n">
        <f aca="false">D64/6</f>
        <v>12.1666666666667</v>
      </c>
      <c r="F64" s="5" t="n">
        <f aca="false">D64*'Raw Data'!G64</f>
        <v>1222020</v>
      </c>
      <c r="G64" s="5" t="n">
        <f aca="false">D64*'Raw Data'!F64</f>
        <v>695690</v>
      </c>
      <c r="H64" s="5" t="n">
        <f aca="false">F64-G64</f>
        <v>526330</v>
      </c>
      <c r="I64" s="3" t="n">
        <f aca="false">'Raw Data'!H64</f>
        <v>61</v>
      </c>
      <c r="J64" s="3" t="n">
        <f aca="false">'Raw Data'!I64</f>
        <v>18</v>
      </c>
      <c r="K64" s="4" t="n">
        <f aca="false">IF(I64=0,0,D64/I64)</f>
        <v>1.19672131147541</v>
      </c>
      <c r="L64" s="4" t="n">
        <f aca="false">IF(E64=0,999,I64/E64)</f>
        <v>5.01369863013699</v>
      </c>
      <c r="M64" s="6" t="str">
        <f aca="false">IF(D64=0,"Dead Stock",IF(I64&lt;=J64,"Reorder Needed",IF(L64&gt;6,"Overstocked","Healthy")))</f>
        <v>Healthy</v>
      </c>
      <c r="N64" s="7" t="n">
        <f aca="false">F64/SUM($F$2:$F$151)</f>
        <v>0.00696056199865336</v>
      </c>
      <c r="O64" s="7" t="n">
        <f aca="false">SUMPRODUCT(($F$2:$F$151&gt;=F64)*$F$2:$F$151)/SUM($F$2:$F$151)</f>
        <v>0.761023951403086</v>
      </c>
      <c r="P64" s="6" t="str">
        <f aca="false">IF(O64&lt;=0.8,"A",IF(O64&lt;=0.95,"B","C"))</f>
        <v>A</v>
      </c>
      <c r="Q64" s="6" t="str">
        <f aca="false">IF(D64=0,"Yes","No")</f>
        <v>No</v>
      </c>
    </row>
    <row r="65" customFormat="false" ht="15" hidden="false" customHeight="true" outlineLevel="0" collapsed="false">
      <c r="A65" s="6" t="str">
        <f aca="false">'Raw Data'!A65</f>
        <v>SKU-1101</v>
      </c>
      <c r="B65" s="6" t="str">
        <f aca="false">'Raw Data'!B65</f>
        <v>Bravo Bluetooth Speaker C9</v>
      </c>
      <c r="C65" s="6" t="str">
        <f aca="false">'Raw Data'!C65</f>
        <v>Electronics</v>
      </c>
      <c r="D65" s="6" t="n">
        <f aca="false">SUM('Raw Data'!K65:P65)</f>
        <v>28</v>
      </c>
      <c r="E65" s="8" t="n">
        <f aca="false">D65/6</f>
        <v>4.66666666666667</v>
      </c>
      <c r="F65" s="9" t="n">
        <f aca="false">D65*'Raw Data'!G65</f>
        <v>687680</v>
      </c>
      <c r="G65" s="9" t="n">
        <f aca="false">D65*'Raw Data'!F65</f>
        <v>403200</v>
      </c>
      <c r="H65" s="9" t="n">
        <f aca="false">F65-G65</f>
        <v>284480</v>
      </c>
      <c r="I65" s="6" t="n">
        <f aca="false">'Raw Data'!H65</f>
        <v>86</v>
      </c>
      <c r="J65" s="6" t="n">
        <f aca="false">'Raw Data'!I65</f>
        <v>7</v>
      </c>
      <c r="K65" s="8" t="n">
        <f aca="false">IF(I65=0,0,D65/I65)</f>
        <v>0.325581395348837</v>
      </c>
      <c r="L65" s="8" t="n">
        <f aca="false">IF(E65=0,999,I65/E65)</f>
        <v>18.4285714285714</v>
      </c>
      <c r="M65" s="6" t="str">
        <f aca="false">IF(D65=0,"Dead Stock",IF(I65&lt;=J65,"Reorder Needed",IF(L65&gt;6,"Overstocked","Healthy")))</f>
        <v>Overstocked</v>
      </c>
      <c r="N65" s="10" t="n">
        <f aca="false">F65/SUM($F$2:$F$151)</f>
        <v>0.00391698930887706</v>
      </c>
      <c r="O65" s="10" t="n">
        <f aca="false">SUMPRODUCT(($F$2:$F$151&gt;=F65)*$F$2:$F$151)/SUM($F$2:$F$151)</f>
        <v>0.883405260811464</v>
      </c>
      <c r="P65" s="6" t="str">
        <f aca="false">IF(O65&lt;=0.8,"A",IF(O65&lt;=0.95,"B","C"))</f>
        <v>B</v>
      </c>
      <c r="Q65" s="6" t="str">
        <f aca="false">IF(D65=0,"Yes","No")</f>
        <v>No</v>
      </c>
    </row>
    <row r="66" customFormat="false" ht="15" hidden="false" customHeight="true" outlineLevel="0" collapsed="false">
      <c r="A66" s="3" t="str">
        <f aca="false">'Raw Data'!A66</f>
        <v>SKU-1102</v>
      </c>
      <c r="B66" s="3" t="str">
        <f aca="false">'Raw Data'!B66</f>
        <v>Nova Phone Case F1</v>
      </c>
      <c r="C66" s="3" t="str">
        <f aca="false">'Raw Data'!C66</f>
        <v>Electronics</v>
      </c>
      <c r="D66" s="3" t="n">
        <f aca="false">SUM('Raw Data'!K66:P66)</f>
        <v>86</v>
      </c>
      <c r="E66" s="4" t="n">
        <f aca="false">D66/6</f>
        <v>14.3333333333333</v>
      </c>
      <c r="F66" s="5" t="n">
        <f aca="false">D66*'Raw Data'!G66</f>
        <v>814420</v>
      </c>
      <c r="G66" s="5" t="n">
        <f aca="false">D66*'Raw Data'!F66</f>
        <v>523740</v>
      </c>
      <c r="H66" s="5" t="n">
        <f aca="false">F66-G66</f>
        <v>290680</v>
      </c>
      <c r="I66" s="3" t="n">
        <f aca="false">'Raw Data'!H66</f>
        <v>69</v>
      </c>
      <c r="J66" s="3" t="n">
        <f aca="false">'Raw Data'!I66</f>
        <v>21</v>
      </c>
      <c r="K66" s="4" t="n">
        <f aca="false">IF(I66=0,0,D66/I66)</f>
        <v>1.2463768115942</v>
      </c>
      <c r="L66" s="4" t="n">
        <f aca="false">IF(E66=0,999,I66/E66)</f>
        <v>4.81395348837209</v>
      </c>
      <c r="M66" s="6" t="str">
        <f aca="false">IF(D66=0,"Dead Stock",IF(I66&lt;=J66,"Reorder Needed",IF(L66&gt;6,"Overstocked","Healthy")))</f>
        <v>Healthy</v>
      </c>
      <c r="N66" s="7" t="n">
        <f aca="false">F66/SUM($F$2:$F$151)</f>
        <v>0.00463889371936897</v>
      </c>
      <c r="O66" s="7" t="n">
        <f aca="false">SUMPRODUCT(($F$2:$F$151&gt;=F66)*$F$2:$F$151)/SUM($F$2:$F$151)</f>
        <v>0.871025688097537</v>
      </c>
      <c r="P66" s="6" t="str">
        <f aca="false">IF(O66&lt;=0.8,"A",IF(O66&lt;=0.95,"B","C"))</f>
        <v>B</v>
      </c>
      <c r="Q66" s="6" t="str">
        <f aca="false">IF(D66=0,"Yes","No")</f>
        <v>No</v>
      </c>
    </row>
    <row r="67" customFormat="false" ht="15" hidden="false" customHeight="true" outlineLevel="0" collapsed="false">
      <c r="A67" s="6" t="str">
        <f aca="false">'Raw Data'!A67</f>
        <v>SKU-1103</v>
      </c>
      <c r="B67" s="6" t="str">
        <f aca="false">'Raw Data'!B67</f>
        <v>Tide Phone Case C2</v>
      </c>
      <c r="C67" s="6" t="str">
        <f aca="false">'Raw Data'!C67</f>
        <v>Electronics</v>
      </c>
      <c r="D67" s="6" t="n">
        <f aca="false">SUM('Raw Data'!K67:P67)</f>
        <v>205</v>
      </c>
      <c r="E67" s="8" t="n">
        <f aca="false">D67/6</f>
        <v>34.1666666666667</v>
      </c>
      <c r="F67" s="9" t="n">
        <f aca="false">D67*'Raw Data'!G67</f>
        <v>2068450</v>
      </c>
      <c r="G67" s="9" t="n">
        <f aca="false">D67*'Raw Data'!F67</f>
        <v>1133650</v>
      </c>
      <c r="H67" s="9" t="n">
        <f aca="false">F67-G67</f>
        <v>934800</v>
      </c>
      <c r="I67" s="6" t="n">
        <f aca="false">'Raw Data'!H67</f>
        <v>29</v>
      </c>
      <c r="J67" s="6" t="n">
        <f aca="false">'Raw Data'!I67</f>
        <v>51</v>
      </c>
      <c r="K67" s="8" t="n">
        <f aca="false">IF(I67=0,0,D67/I67)</f>
        <v>7.06896551724138</v>
      </c>
      <c r="L67" s="8" t="n">
        <f aca="false">IF(E67=0,999,I67/E67)</f>
        <v>0.848780487804878</v>
      </c>
      <c r="M67" s="6" t="str">
        <f aca="false">IF(D67=0,"Dead Stock",IF(I67&lt;=J67,"Reorder Needed",IF(L67&gt;6,"Overstocked","Healthy")))</f>
        <v>Reorder Needed</v>
      </c>
      <c r="N67" s="10" t="n">
        <f aca="false">F67/SUM($F$2:$F$151)</f>
        <v>0.0117817830036452</v>
      </c>
      <c r="O67" s="10" t="n">
        <f aca="false">SUMPRODUCT(($F$2:$F$151&gt;=F67)*$F$2:$F$151)/SUM($F$2:$F$151)</f>
        <v>0.477407621553945</v>
      </c>
      <c r="P67" s="6" t="str">
        <f aca="false">IF(O67&lt;=0.8,"A",IF(O67&lt;=0.95,"B","C"))</f>
        <v>A</v>
      </c>
      <c r="Q67" s="6" t="str">
        <f aca="false">IF(D67=0,"Yes","No")</f>
        <v>No</v>
      </c>
    </row>
    <row r="68" customFormat="false" ht="15" hidden="false" customHeight="true" outlineLevel="0" collapsed="false">
      <c r="A68" s="3" t="str">
        <f aca="false">'Raw Data'!A68</f>
        <v>SKU-1104</v>
      </c>
      <c r="B68" s="3" t="str">
        <f aca="false">'Raw Data'!B68</f>
        <v>Coastline Phone Case C3</v>
      </c>
      <c r="C68" s="3" t="str">
        <f aca="false">'Raw Data'!C68</f>
        <v>Electronics</v>
      </c>
      <c r="D68" s="3" t="n">
        <f aca="false">SUM('Raw Data'!K68:P68)</f>
        <v>15</v>
      </c>
      <c r="E68" s="4" t="n">
        <f aca="false">D68/6</f>
        <v>2.5</v>
      </c>
      <c r="F68" s="5" t="n">
        <f aca="false">D68*'Raw Data'!G68</f>
        <v>316800</v>
      </c>
      <c r="G68" s="5" t="n">
        <f aca="false">D68*'Raw Data'!F68</f>
        <v>154800</v>
      </c>
      <c r="H68" s="5" t="n">
        <f aca="false">F68-G68</f>
        <v>162000</v>
      </c>
      <c r="I68" s="3" t="n">
        <f aca="false">'Raw Data'!H68</f>
        <v>53</v>
      </c>
      <c r="J68" s="3" t="n">
        <f aca="false">'Raw Data'!I68</f>
        <v>5</v>
      </c>
      <c r="K68" s="4" t="n">
        <f aca="false">IF(I68=0,0,D68/I68)</f>
        <v>0.283018867924528</v>
      </c>
      <c r="L68" s="4" t="n">
        <f aca="false">IF(E68=0,999,I68/E68)</f>
        <v>21.2</v>
      </c>
      <c r="M68" s="6" t="str">
        <f aca="false">IF(D68=0,"Dead Stock",IF(I68&lt;=J68,"Reorder Needed",IF(L68&gt;6,"Overstocked","Healthy")))</f>
        <v>Overstocked</v>
      </c>
      <c r="N68" s="7" t="n">
        <f aca="false">F68/SUM($F$2:$F$151)</f>
        <v>0.00180447622884518</v>
      </c>
      <c r="O68" s="7" t="n">
        <f aca="false">SUMPRODUCT(($F$2:$F$151&gt;=F68)*$F$2:$F$151)/SUM($F$2:$F$151)</f>
        <v>0.96423429004939</v>
      </c>
      <c r="P68" s="6" t="str">
        <f aca="false">IF(O68&lt;=0.8,"A",IF(O68&lt;=0.95,"B","C"))</f>
        <v>C</v>
      </c>
      <c r="Q68" s="6" t="str">
        <f aca="false">IF(D68=0,"Yes","No")</f>
        <v>No</v>
      </c>
    </row>
    <row r="69" customFormat="false" ht="15" hidden="false" customHeight="true" outlineLevel="0" collapsed="false">
      <c r="A69" s="6" t="str">
        <f aca="false">'Raw Data'!A69</f>
        <v>SKU-1105</v>
      </c>
      <c r="B69" s="6" t="str">
        <f aca="false">'Raw Data'!B69</f>
        <v>Mela Phone Case D4</v>
      </c>
      <c r="C69" s="6" t="str">
        <f aca="false">'Raw Data'!C69</f>
        <v>Electronics</v>
      </c>
      <c r="D69" s="6" t="n">
        <f aca="false">SUM('Raw Data'!K69:P69)</f>
        <v>222</v>
      </c>
      <c r="E69" s="8" t="n">
        <f aca="false">D69/6</f>
        <v>37</v>
      </c>
      <c r="F69" s="9" t="n">
        <f aca="false">D69*'Raw Data'!G69</f>
        <v>1269840</v>
      </c>
      <c r="G69" s="9" t="n">
        <f aca="false">D69*'Raw Data'!F69</f>
        <v>892440</v>
      </c>
      <c r="H69" s="9" t="n">
        <f aca="false">F69-G69</f>
        <v>377400</v>
      </c>
      <c r="I69" s="6" t="n">
        <f aca="false">'Raw Data'!H69</f>
        <v>31</v>
      </c>
      <c r="J69" s="6" t="n">
        <f aca="false">'Raw Data'!I69</f>
        <v>55</v>
      </c>
      <c r="K69" s="8" t="n">
        <f aca="false">IF(I69=0,0,D69/I69)</f>
        <v>7.16129032258065</v>
      </c>
      <c r="L69" s="8" t="n">
        <f aca="false">IF(E69=0,999,I69/E69)</f>
        <v>0.837837837837838</v>
      </c>
      <c r="M69" s="6" t="str">
        <f aca="false">IF(D69=0,"Dead Stock",IF(I69&lt;=J69,"Reorder Needed",IF(L69&gt;6,"Overstocked","Healthy")))</f>
        <v>Reorder Needed</v>
      </c>
      <c r="N69" s="10" t="n">
        <f aca="false">F69/SUM($F$2:$F$151)</f>
        <v>0.00723294221728776</v>
      </c>
      <c r="O69" s="10" t="n">
        <f aca="false">SUMPRODUCT(($F$2:$F$151&gt;=F69)*$F$2:$F$151)/SUM($F$2:$F$151)</f>
        <v>0.739948090550303</v>
      </c>
      <c r="P69" s="6" t="str">
        <f aca="false">IF(O69&lt;=0.8,"A",IF(O69&lt;=0.95,"B","C"))</f>
        <v>A</v>
      </c>
      <c r="Q69" s="6" t="str">
        <f aca="false">IF(D69=0,"Yes","No")</f>
        <v>No</v>
      </c>
    </row>
    <row r="70" customFormat="false" ht="15" hidden="false" customHeight="true" outlineLevel="0" collapsed="false">
      <c r="A70" s="3" t="str">
        <f aca="false">'Raw Data'!A70</f>
        <v>SKU-1106</v>
      </c>
      <c r="B70" s="3" t="str">
        <f aca="false">'Raw Data'!B70</f>
        <v>Tide Phone Case G5</v>
      </c>
      <c r="C70" s="3" t="str">
        <f aca="false">'Raw Data'!C70</f>
        <v>Electronics</v>
      </c>
      <c r="D70" s="3" t="n">
        <f aca="false">SUM('Raw Data'!K70:P70)</f>
        <v>13</v>
      </c>
      <c r="E70" s="4" t="n">
        <f aca="false">D70/6</f>
        <v>2.16666666666667</v>
      </c>
      <c r="F70" s="5" t="n">
        <f aca="false">D70*'Raw Data'!G70</f>
        <v>56810</v>
      </c>
      <c r="G70" s="5" t="n">
        <f aca="false">D70*'Raw Data'!F70</f>
        <v>38870</v>
      </c>
      <c r="H70" s="5" t="n">
        <f aca="false">F70-G70</f>
        <v>17940</v>
      </c>
      <c r="I70" s="3" t="n">
        <f aca="false">'Raw Data'!H70</f>
        <v>86</v>
      </c>
      <c r="J70" s="3" t="n">
        <f aca="false">'Raw Data'!I70</f>
        <v>5</v>
      </c>
      <c r="K70" s="4" t="n">
        <f aca="false">IF(I70=0,0,D70/I70)</f>
        <v>0.151162790697674</v>
      </c>
      <c r="L70" s="4" t="n">
        <f aca="false">IF(E70=0,999,I70/E70)</f>
        <v>39.6923076923077</v>
      </c>
      <c r="M70" s="6" t="str">
        <f aca="false">IF(D70=0,"Dead Stock",IF(I70&lt;=J70,"Reorder Needed",IF(L70&gt;6,"Overstocked","Healthy")))</f>
        <v>Overstocked</v>
      </c>
      <c r="N70" s="7" t="n">
        <f aca="false">F70/SUM($F$2:$F$151)</f>
        <v>0.000323586788386031</v>
      </c>
      <c r="O70" s="7" t="n">
        <f aca="false">SUMPRODUCT(($F$2:$F$151&gt;=F70)*$F$2:$F$151)/SUM($F$2:$F$151)</f>
        <v>0.998789668074914</v>
      </c>
      <c r="P70" s="6" t="str">
        <f aca="false">IF(O70&lt;=0.8,"A",IF(O70&lt;=0.95,"B","C"))</f>
        <v>C</v>
      </c>
      <c r="Q70" s="6" t="str">
        <f aca="false">IF(D70=0,"Yes","No")</f>
        <v>No</v>
      </c>
    </row>
    <row r="71" customFormat="false" ht="15" hidden="false" customHeight="true" outlineLevel="0" collapsed="false">
      <c r="A71" s="6" t="str">
        <f aca="false">'Raw Data'!A71</f>
        <v>SKU-1107</v>
      </c>
      <c r="B71" s="6" t="str">
        <f aca="false">'Raw Data'!B71</f>
        <v>Mela Phone Case D6</v>
      </c>
      <c r="C71" s="6" t="str">
        <f aca="false">'Raw Data'!C71</f>
        <v>Electronics</v>
      </c>
      <c r="D71" s="6" t="n">
        <f aca="false">SUM('Raw Data'!K71:P71)</f>
        <v>20</v>
      </c>
      <c r="E71" s="8" t="n">
        <f aca="false">D71/6</f>
        <v>3.33333333333333</v>
      </c>
      <c r="F71" s="9" t="n">
        <f aca="false">D71*'Raw Data'!G71</f>
        <v>264600</v>
      </c>
      <c r="G71" s="9" t="n">
        <f aca="false">D71*'Raw Data'!F71</f>
        <v>167600</v>
      </c>
      <c r="H71" s="9" t="n">
        <f aca="false">F71-G71</f>
        <v>97000</v>
      </c>
      <c r="I71" s="6" t="n">
        <f aca="false">'Raw Data'!H71</f>
        <v>66</v>
      </c>
      <c r="J71" s="6" t="n">
        <f aca="false">'Raw Data'!I71</f>
        <v>5</v>
      </c>
      <c r="K71" s="8" t="n">
        <f aca="false">IF(I71=0,0,D71/I71)</f>
        <v>0.303030303030303</v>
      </c>
      <c r="L71" s="8" t="n">
        <f aca="false">IF(E71=0,999,I71/E71)</f>
        <v>19.8</v>
      </c>
      <c r="M71" s="6" t="str">
        <f aca="false">IF(D71=0,"Dead Stock",IF(I71&lt;=J71,"Reorder Needed",IF(L71&gt;6,"Overstocked","Healthy")))</f>
        <v>Overstocked</v>
      </c>
      <c r="N71" s="10" t="n">
        <f aca="false">F71/SUM($F$2:$F$151)</f>
        <v>0.00150714775931955</v>
      </c>
      <c r="O71" s="10" t="n">
        <f aca="false">SUMPRODUCT(($F$2:$F$151&gt;=F71)*$F$2:$F$151)/SUM($F$2:$F$151)</f>
        <v>0.977512341552263</v>
      </c>
      <c r="P71" s="6" t="str">
        <f aca="false">IF(O71&lt;=0.8,"A",IF(O71&lt;=0.95,"B","C"))</f>
        <v>C</v>
      </c>
      <c r="Q71" s="6" t="str">
        <f aca="false">IF(D71=0,"Yes","No")</f>
        <v>No</v>
      </c>
    </row>
    <row r="72" customFormat="false" ht="15" hidden="false" customHeight="true" outlineLevel="0" collapsed="false">
      <c r="A72" s="3" t="str">
        <f aca="false">'Raw Data'!A72</f>
        <v>SKU-1110</v>
      </c>
      <c r="B72" s="3" t="str">
        <f aca="false">'Raw Data'!B72</f>
        <v>Coastline Phone Case D9</v>
      </c>
      <c r="C72" s="3" t="str">
        <f aca="false">'Raw Data'!C72</f>
        <v>Electronics</v>
      </c>
      <c r="D72" s="3" t="n">
        <f aca="false">SUM('Raw Data'!K72:P72)</f>
        <v>86</v>
      </c>
      <c r="E72" s="4" t="n">
        <f aca="false">D72/6</f>
        <v>14.3333333333333</v>
      </c>
      <c r="F72" s="5" t="n">
        <f aca="false">D72*'Raw Data'!G72</f>
        <v>742180</v>
      </c>
      <c r="G72" s="5" t="n">
        <f aca="false">D72*'Raw Data'!F72</f>
        <v>540080</v>
      </c>
      <c r="H72" s="5" t="n">
        <f aca="false">F72-G72</f>
        <v>202100</v>
      </c>
      <c r="I72" s="3" t="n">
        <f aca="false">'Raw Data'!H72</f>
        <v>80</v>
      </c>
      <c r="J72" s="3" t="n">
        <f aca="false">'Raw Data'!I72</f>
        <v>21</v>
      </c>
      <c r="K72" s="4" t="n">
        <f aca="false">IF(I72=0,0,D72/I72)</f>
        <v>1.075</v>
      </c>
      <c r="L72" s="4" t="n">
        <f aca="false">IF(E72=0,999,I72/E72)</f>
        <v>5.58139534883721</v>
      </c>
      <c r="M72" s="6" t="str">
        <f aca="false">IF(D72=0,"Dead Stock",IF(I72&lt;=J72,"Reorder Needed",IF(L72&gt;6,"Overstocked","Healthy")))</f>
        <v>Healthy</v>
      </c>
      <c r="N72" s="7" t="n">
        <f aca="false">F72/SUM($F$2:$F$151)</f>
        <v>0.00422741845809443</v>
      </c>
      <c r="O72" s="7" t="n">
        <f aca="false">SUMPRODUCT(($F$2:$F$151&gt;=F72)*$F$2:$F$151)/SUM($F$2:$F$151)</f>
        <v>0.879488271502587</v>
      </c>
      <c r="P72" s="6" t="str">
        <f aca="false">IF(O72&lt;=0.8,"A",IF(O72&lt;=0.95,"B","C"))</f>
        <v>B</v>
      </c>
      <c r="Q72" s="6" t="str">
        <f aca="false">IF(D72=0,"Yes","No")</f>
        <v>No</v>
      </c>
    </row>
    <row r="73" customFormat="false" ht="15" hidden="false" customHeight="true" outlineLevel="0" collapsed="false">
      <c r="A73" s="6" t="str">
        <f aca="false">'Raw Data'!A73</f>
        <v>SKU-1111</v>
      </c>
      <c r="B73" s="6" t="str">
        <f aca="false">'Raw Data'!B73</f>
        <v>Mela Phone Case J10</v>
      </c>
      <c r="C73" s="6" t="str">
        <f aca="false">'Raw Data'!C73</f>
        <v>Electronics</v>
      </c>
      <c r="D73" s="6" t="n">
        <f aca="false">SUM('Raw Data'!K73:P73)</f>
        <v>84</v>
      </c>
      <c r="E73" s="8" t="n">
        <f aca="false">D73/6</f>
        <v>14</v>
      </c>
      <c r="F73" s="9" t="n">
        <f aca="false">D73*'Raw Data'!G73</f>
        <v>99960</v>
      </c>
      <c r="G73" s="9" t="n">
        <f aca="false">D73*'Raw Data'!F73</f>
        <v>73080</v>
      </c>
      <c r="H73" s="9" t="n">
        <f aca="false">F73-G73</f>
        <v>26880</v>
      </c>
      <c r="I73" s="6" t="n">
        <f aca="false">'Raw Data'!H73</f>
        <v>58</v>
      </c>
      <c r="J73" s="6" t="n">
        <f aca="false">'Raw Data'!I73</f>
        <v>21</v>
      </c>
      <c r="K73" s="8" t="n">
        <f aca="false">IF(I73=0,0,D73/I73)</f>
        <v>1.44827586206897</v>
      </c>
      <c r="L73" s="8" t="n">
        <f aca="false">IF(E73=0,999,I73/E73)</f>
        <v>4.14285714285714</v>
      </c>
      <c r="M73" s="6" t="str">
        <f aca="false">IF(D73=0,"Dead Stock",IF(I73&lt;=J73,"Reorder Needed",IF(L73&gt;6,"Overstocked","Healthy")))</f>
        <v>Healthy</v>
      </c>
      <c r="N73" s="10" t="n">
        <f aca="false">F73/SUM($F$2:$F$151)</f>
        <v>0.000569366931298498</v>
      </c>
      <c r="O73" s="10" t="n">
        <f aca="false">SUMPRODUCT(($F$2:$F$151&gt;=F73)*$F$2:$F$151)/SUM($F$2:$F$151)</f>
        <v>0.99752380065983</v>
      </c>
      <c r="P73" s="6" t="str">
        <f aca="false">IF(O73&lt;=0.8,"A",IF(O73&lt;=0.95,"B","C"))</f>
        <v>C</v>
      </c>
      <c r="Q73" s="6" t="str">
        <f aca="false">IF(D73=0,"Yes","No")</f>
        <v>No</v>
      </c>
    </row>
    <row r="74" customFormat="false" ht="15" hidden="false" customHeight="true" outlineLevel="0" collapsed="false">
      <c r="A74" s="3" t="str">
        <f aca="false">'Raw Data'!A74</f>
        <v>SKU-1112</v>
      </c>
      <c r="B74" s="3" t="str">
        <f aca="false">'Raw Data'!B74</f>
        <v>Drift Power Bank J1</v>
      </c>
      <c r="C74" s="3" t="str">
        <f aca="false">'Raw Data'!C74</f>
        <v>Electronics</v>
      </c>
      <c r="D74" s="3" t="n">
        <f aca="false">SUM('Raw Data'!K74:P74)</f>
        <v>1</v>
      </c>
      <c r="E74" s="4" t="n">
        <f aca="false">D74/6</f>
        <v>0.166666666666667</v>
      </c>
      <c r="F74" s="5" t="n">
        <f aca="false">D74*'Raw Data'!G74</f>
        <v>10200</v>
      </c>
      <c r="G74" s="5" t="n">
        <f aca="false">D74*'Raw Data'!F74</f>
        <v>7290</v>
      </c>
      <c r="H74" s="5" t="n">
        <f aca="false">F74-G74</f>
        <v>2910</v>
      </c>
      <c r="I74" s="3" t="n">
        <f aca="false">'Raw Data'!H74</f>
        <v>120</v>
      </c>
      <c r="J74" s="3" t="n">
        <f aca="false">'Raw Data'!I74</f>
        <v>5</v>
      </c>
      <c r="K74" s="4" t="n">
        <f aca="false">IF(I74=0,0,D74/I74)</f>
        <v>0.00833333333333333</v>
      </c>
      <c r="L74" s="4" t="n">
        <f aca="false">IF(E74=0,999,I74/E74)</f>
        <v>720</v>
      </c>
      <c r="M74" s="6" t="str">
        <f aca="false">IF(D74=0,"Dead Stock",IF(I74&lt;=J74,"Reorder Needed",IF(L74&gt;6,"Overstocked","Healthy")))</f>
        <v>Overstocked</v>
      </c>
      <c r="N74" s="7" t="n">
        <f aca="false">F74/SUM($F$2:$F$151)</f>
        <v>5.80986664590304E-005</v>
      </c>
      <c r="O74" s="7" t="n">
        <f aca="false">SUMPRODUCT(($F$2:$F$151&gt;=F74)*$F$2:$F$151)/SUM($F$2:$F$151)</f>
        <v>0.999870018473667</v>
      </c>
      <c r="P74" s="6" t="str">
        <f aca="false">IF(O74&lt;=0.8,"A",IF(O74&lt;=0.95,"B","C"))</f>
        <v>C</v>
      </c>
      <c r="Q74" s="6" t="str">
        <f aca="false">IF(D74=0,"Yes","No")</f>
        <v>No</v>
      </c>
    </row>
    <row r="75" customFormat="false" ht="15" hidden="false" customHeight="true" outlineLevel="0" collapsed="false">
      <c r="A75" s="6" t="str">
        <f aca="false">'Raw Data'!A75</f>
        <v>SKU-1113</v>
      </c>
      <c r="B75" s="6" t="str">
        <f aca="false">'Raw Data'!B75</f>
        <v>Primecraft Power Bank C2</v>
      </c>
      <c r="C75" s="6" t="str">
        <f aca="false">'Raw Data'!C75</f>
        <v>Electronics</v>
      </c>
      <c r="D75" s="6" t="n">
        <f aca="false">SUM('Raw Data'!K75:P75)</f>
        <v>77</v>
      </c>
      <c r="E75" s="8" t="n">
        <f aca="false">D75/6</f>
        <v>12.8333333333333</v>
      </c>
      <c r="F75" s="9" t="n">
        <f aca="false">D75*'Raw Data'!G75</f>
        <v>495110</v>
      </c>
      <c r="G75" s="9" t="n">
        <f aca="false">D75*'Raw Data'!F75</f>
        <v>380380</v>
      </c>
      <c r="H75" s="9" t="n">
        <f aca="false">F75-G75</f>
        <v>114730</v>
      </c>
      <c r="I75" s="6" t="n">
        <f aca="false">'Raw Data'!H75</f>
        <v>89</v>
      </c>
      <c r="J75" s="6" t="n">
        <f aca="false">'Raw Data'!I75</f>
        <v>19</v>
      </c>
      <c r="K75" s="8" t="n">
        <f aca="false">IF(I75=0,0,D75/I75)</f>
        <v>0.865168539325843</v>
      </c>
      <c r="L75" s="8" t="n">
        <f aca="false">IF(E75=0,999,I75/E75)</f>
        <v>6.93506493506493</v>
      </c>
      <c r="M75" s="6" t="str">
        <f aca="false">IF(D75=0,"Dead Stock",IF(I75&lt;=J75,"Reorder Needed",IF(L75&gt;6,"Overstocked","Healthy")))</f>
        <v>Overstocked</v>
      </c>
      <c r="N75" s="10" t="n">
        <f aca="false">F75/SUM($F$2:$F$151)</f>
        <v>0.00282012066181672</v>
      </c>
      <c r="O75" s="10" t="n">
        <f aca="false">SUMPRODUCT(($F$2:$F$151&gt;=F75)*$F$2:$F$151)/SUM($F$2:$F$151)</f>
        <v>0.926661085017658</v>
      </c>
      <c r="P75" s="6" t="str">
        <f aca="false">IF(O75&lt;=0.8,"A",IF(O75&lt;=0.95,"B","C"))</f>
        <v>B</v>
      </c>
      <c r="Q75" s="6" t="str">
        <f aca="false">IF(D75=0,"Yes","No")</f>
        <v>No</v>
      </c>
    </row>
    <row r="76" customFormat="false" ht="15" hidden="false" customHeight="true" outlineLevel="0" collapsed="false">
      <c r="A76" s="3" t="str">
        <f aca="false">'Raw Data'!A76</f>
        <v>SKU-1114</v>
      </c>
      <c r="B76" s="3" t="str">
        <f aca="false">'Raw Data'!B76</f>
        <v>Bravo Power Bank A3</v>
      </c>
      <c r="C76" s="3" t="str">
        <f aca="false">'Raw Data'!C76</f>
        <v>Electronics</v>
      </c>
      <c r="D76" s="3" t="n">
        <f aca="false">SUM('Raw Data'!K76:P76)</f>
        <v>101</v>
      </c>
      <c r="E76" s="4" t="n">
        <f aca="false">D76/6</f>
        <v>16.8333333333333</v>
      </c>
      <c r="F76" s="5" t="n">
        <f aca="false">D76*'Raw Data'!G76</f>
        <v>1102920</v>
      </c>
      <c r="G76" s="5" t="n">
        <f aca="false">D76*'Raw Data'!F76</f>
        <v>640340</v>
      </c>
      <c r="H76" s="5" t="n">
        <f aca="false">F76-G76</f>
        <v>462580</v>
      </c>
      <c r="I76" s="3" t="n">
        <f aca="false">'Raw Data'!H76</f>
        <v>100</v>
      </c>
      <c r="J76" s="3" t="n">
        <f aca="false">'Raw Data'!I76</f>
        <v>25</v>
      </c>
      <c r="K76" s="4" t="n">
        <f aca="false">IF(I76=0,0,D76/I76)</f>
        <v>1.01</v>
      </c>
      <c r="L76" s="4" t="n">
        <f aca="false">IF(E76=0,999,I76/E76)</f>
        <v>5.94059405940594</v>
      </c>
      <c r="M76" s="6" t="str">
        <f aca="false">IF(D76=0,"Dead Stock",IF(I76&lt;=J76,"Reorder Needed",IF(L76&gt;6,"Overstocked","Healthy")))</f>
        <v>Healthy</v>
      </c>
      <c r="N76" s="7" t="n">
        <f aca="false">F76/SUM($F$2:$F$151)</f>
        <v>0.0062821746285288</v>
      </c>
      <c r="O76" s="7" t="n">
        <f aca="false">SUMPRODUCT(($F$2:$F$151&gt;=F76)*$F$2:$F$151)/SUM($F$2:$F$151)</f>
        <v>0.800411543612647</v>
      </c>
      <c r="P76" s="6" t="str">
        <f aca="false">IF(O76&lt;=0.8,"A",IF(O76&lt;=0.95,"B","C"))</f>
        <v>B</v>
      </c>
      <c r="Q76" s="6" t="str">
        <f aca="false">IF(D76=0,"Yes","No")</f>
        <v>No</v>
      </c>
    </row>
    <row r="77" customFormat="false" ht="15" hidden="false" customHeight="true" outlineLevel="0" collapsed="false">
      <c r="A77" s="6" t="str">
        <f aca="false">'Raw Data'!A77</f>
        <v>SKU-1116</v>
      </c>
      <c r="B77" s="6" t="str">
        <f aca="false">'Raw Data'!B77</f>
        <v>Zenith Power Bank D5</v>
      </c>
      <c r="C77" s="6" t="str">
        <f aca="false">'Raw Data'!C77</f>
        <v>Electronics</v>
      </c>
      <c r="D77" s="6" t="n">
        <f aca="false">SUM('Raw Data'!K77:P77)</f>
        <v>264</v>
      </c>
      <c r="E77" s="8" t="n">
        <f aca="false">D77/6</f>
        <v>44</v>
      </c>
      <c r="F77" s="9" t="n">
        <f aca="false">D77*'Raw Data'!G77</f>
        <v>554400</v>
      </c>
      <c r="G77" s="9" t="n">
        <f aca="false">D77*'Raw Data'!F77</f>
        <v>374880</v>
      </c>
      <c r="H77" s="9" t="n">
        <f aca="false">F77-G77</f>
        <v>179520</v>
      </c>
      <c r="I77" s="6" t="n">
        <f aca="false">'Raw Data'!H77</f>
        <v>22</v>
      </c>
      <c r="J77" s="6" t="n">
        <f aca="false">'Raw Data'!I77</f>
        <v>66</v>
      </c>
      <c r="K77" s="8" t="n">
        <f aca="false">IF(I77=0,0,D77/I77)</f>
        <v>12</v>
      </c>
      <c r="L77" s="8" t="n">
        <f aca="false">IF(E77=0,999,I77/E77)</f>
        <v>0.5</v>
      </c>
      <c r="M77" s="6" t="str">
        <f aca="false">IF(D77=0,"Dead Stock",IF(I77&lt;=J77,"Reorder Needed",IF(L77&gt;6,"Overstocked","Healthy")))</f>
        <v>Reorder Needed</v>
      </c>
      <c r="N77" s="10" t="n">
        <f aca="false">F77/SUM($F$2:$F$151)</f>
        <v>0.00315783340047906</v>
      </c>
      <c r="O77" s="10" t="n">
        <f aca="false">SUMPRODUCT(($F$2:$F$151&gt;=F77)*$F$2:$F$151)/SUM($F$2:$F$151)</f>
        <v>0.911644288522307</v>
      </c>
      <c r="P77" s="6" t="str">
        <f aca="false">IF(O77&lt;=0.8,"A",IF(O77&lt;=0.95,"B","C"))</f>
        <v>B</v>
      </c>
      <c r="Q77" s="6" t="str">
        <f aca="false">IF(D77=0,"Yes","No")</f>
        <v>No</v>
      </c>
    </row>
    <row r="78" customFormat="false" ht="15" hidden="false" customHeight="true" outlineLevel="0" collapsed="false">
      <c r="A78" s="3" t="str">
        <f aca="false">'Raw Data'!A78</f>
        <v>SKU-1117</v>
      </c>
      <c r="B78" s="3" t="str">
        <f aca="false">'Raw Data'!B78</f>
        <v>Urbanix Power Bank F6</v>
      </c>
      <c r="C78" s="3" t="str">
        <f aca="false">'Raw Data'!C78</f>
        <v>Electronics</v>
      </c>
      <c r="D78" s="3" t="n">
        <f aca="false">SUM('Raw Data'!K78:P78)</f>
        <v>99</v>
      </c>
      <c r="E78" s="4" t="n">
        <f aca="false">D78/6</f>
        <v>16.5</v>
      </c>
      <c r="F78" s="5" t="n">
        <f aca="false">D78*'Raw Data'!G78</f>
        <v>935550</v>
      </c>
      <c r="G78" s="5" t="n">
        <f aca="false">D78*'Raw Data'!F78</f>
        <v>463320</v>
      </c>
      <c r="H78" s="5" t="n">
        <f aca="false">F78-G78</f>
        <v>472230</v>
      </c>
      <c r="I78" s="3" t="n">
        <f aca="false">'Raw Data'!H78</f>
        <v>67</v>
      </c>
      <c r="J78" s="3" t="n">
        <f aca="false">'Raw Data'!I78</f>
        <v>24</v>
      </c>
      <c r="K78" s="4" t="n">
        <f aca="false">IF(I78=0,0,D78/I78)</f>
        <v>1.47761194029851</v>
      </c>
      <c r="L78" s="4" t="n">
        <f aca="false">IF(E78=0,999,I78/E78)</f>
        <v>4.06060606060606</v>
      </c>
      <c r="M78" s="6" t="str">
        <f aca="false">IF(D78=0,"Dead Stock",IF(I78&lt;=J78,"Reorder Needed",IF(L78&gt;6,"Overstocked","Healthy")))</f>
        <v>Healthy</v>
      </c>
      <c r="N78" s="7" t="n">
        <f aca="false">F78/SUM($F$2:$F$151)</f>
        <v>0.00532884386330842</v>
      </c>
      <c r="O78" s="7" t="n">
        <f aca="false">SUMPRODUCT(($F$2:$F$151&gt;=F78)*$F$2:$F$151)/SUM($F$2:$F$151)</f>
        <v>0.841675665789358</v>
      </c>
      <c r="P78" s="6" t="str">
        <f aca="false">IF(O78&lt;=0.8,"A",IF(O78&lt;=0.95,"B","C"))</f>
        <v>B</v>
      </c>
      <c r="Q78" s="6" t="str">
        <f aca="false">IF(D78=0,"Yes","No")</f>
        <v>No</v>
      </c>
    </row>
    <row r="79" customFormat="false" ht="15" hidden="false" customHeight="true" outlineLevel="0" collapsed="false">
      <c r="A79" s="6" t="str">
        <f aca="false">'Raw Data'!A79</f>
        <v>SKU-1119</v>
      </c>
      <c r="B79" s="6" t="str">
        <f aca="false">'Raw Data'!B79</f>
        <v>Coastline Power Bank H8</v>
      </c>
      <c r="C79" s="6" t="str">
        <f aca="false">'Raw Data'!C79</f>
        <v>Electronics</v>
      </c>
      <c r="D79" s="6" t="n">
        <f aca="false">SUM('Raw Data'!K79:P79)</f>
        <v>112</v>
      </c>
      <c r="E79" s="8" t="n">
        <f aca="false">D79/6</f>
        <v>18.6666666666667</v>
      </c>
      <c r="F79" s="9" t="n">
        <f aca="false">D79*'Raw Data'!G79</f>
        <v>327040</v>
      </c>
      <c r="G79" s="9" t="n">
        <f aca="false">D79*'Raw Data'!F79</f>
        <v>156800</v>
      </c>
      <c r="H79" s="9" t="n">
        <f aca="false">F79-G79</f>
        <v>170240</v>
      </c>
      <c r="I79" s="6" t="n">
        <f aca="false">'Raw Data'!H79</f>
        <v>66</v>
      </c>
      <c r="J79" s="6" t="n">
        <f aca="false">'Raw Data'!I79</f>
        <v>28</v>
      </c>
      <c r="K79" s="8" t="n">
        <f aca="false">IF(I79=0,0,D79/I79)</f>
        <v>1.6969696969697</v>
      </c>
      <c r="L79" s="8" t="n">
        <f aca="false">IF(E79=0,999,I79/E79)</f>
        <v>3.53571428571429</v>
      </c>
      <c r="M79" s="6" t="str">
        <f aca="false">IF(D79=0,"Dead Stock",IF(I79&lt;=J79,"Reorder Needed",IF(L79&gt;6,"Overstocked","Healthy")))</f>
        <v>Healthy</v>
      </c>
      <c r="N79" s="10" t="n">
        <f aca="false">F79/SUM($F$2:$F$151)</f>
        <v>0.00186280273321189</v>
      </c>
      <c r="O79" s="10" t="n">
        <f aca="false">SUMPRODUCT(($F$2:$F$151&gt;=F79)*$F$2:$F$151)/SUM($F$2:$F$151)</f>
        <v>0.9606208947525</v>
      </c>
      <c r="P79" s="6" t="str">
        <f aca="false">IF(O79&lt;=0.8,"A",IF(O79&lt;=0.95,"B","C"))</f>
        <v>C</v>
      </c>
      <c r="Q79" s="6" t="str">
        <f aca="false">IF(D79=0,"Yes","No")</f>
        <v>No</v>
      </c>
    </row>
    <row r="80" customFormat="false" ht="15" hidden="false" customHeight="true" outlineLevel="0" collapsed="false">
      <c r="A80" s="3" t="str">
        <f aca="false">'Raw Data'!A80</f>
        <v>SKU-1120</v>
      </c>
      <c r="B80" s="3" t="str">
        <f aca="false">'Raw Data'!B80</f>
        <v>Nova Earbuds J1</v>
      </c>
      <c r="C80" s="3" t="str">
        <f aca="false">'Raw Data'!C80</f>
        <v>Electronics</v>
      </c>
      <c r="D80" s="3" t="n">
        <f aca="false">SUM('Raw Data'!K80:P80)</f>
        <v>257</v>
      </c>
      <c r="E80" s="4" t="n">
        <f aca="false">D80/6</f>
        <v>42.8333333333333</v>
      </c>
      <c r="F80" s="5" t="n">
        <f aca="false">D80*'Raw Data'!G80</f>
        <v>4541190</v>
      </c>
      <c r="G80" s="5" t="n">
        <f aca="false">D80*'Raw Data'!F80</f>
        <v>2680510</v>
      </c>
      <c r="H80" s="5" t="n">
        <f aca="false">F80-G80</f>
        <v>1860680</v>
      </c>
      <c r="I80" s="3" t="n">
        <f aca="false">'Raw Data'!H80</f>
        <v>38</v>
      </c>
      <c r="J80" s="3" t="n">
        <f aca="false">'Raw Data'!I80</f>
        <v>64</v>
      </c>
      <c r="K80" s="4" t="n">
        <f aca="false">IF(I80=0,0,D80/I80)</f>
        <v>6.76315789473684</v>
      </c>
      <c r="L80" s="4" t="n">
        <f aca="false">IF(E80=0,999,I80/E80)</f>
        <v>0.88715953307393</v>
      </c>
      <c r="M80" s="6" t="str">
        <f aca="false">IF(D80=0,"Dead Stock",IF(I80&lt;=J80,"Reorder Needed",IF(L80&gt;6,"Overstocked","Healthy")))</f>
        <v>Reorder Needed</v>
      </c>
      <c r="N80" s="7" t="n">
        <f aca="false">F80/SUM($F$2:$F$151)</f>
        <v>0.0258663806997141</v>
      </c>
      <c r="O80" s="7" t="n">
        <f aca="false">SUMPRODUCT(($F$2:$F$151&gt;=F80)*$F$2:$F$151)/SUM($F$2:$F$151)</f>
        <v>0.110414749861603</v>
      </c>
      <c r="P80" s="6" t="str">
        <f aca="false">IF(O80&lt;=0.8,"A",IF(O80&lt;=0.95,"B","C"))</f>
        <v>A</v>
      </c>
      <c r="Q80" s="6" t="str">
        <f aca="false">IF(D80=0,"Yes","No")</f>
        <v>No</v>
      </c>
    </row>
    <row r="81" customFormat="false" ht="15" hidden="false" customHeight="true" outlineLevel="0" collapsed="false">
      <c r="A81" s="6" t="str">
        <f aca="false">'Raw Data'!A81</f>
        <v>SKU-1121</v>
      </c>
      <c r="B81" s="6" t="str">
        <f aca="false">'Raw Data'!B81</f>
        <v>Mela Earbuds B2</v>
      </c>
      <c r="C81" s="6" t="str">
        <f aca="false">'Raw Data'!C81</f>
        <v>Electronics</v>
      </c>
      <c r="D81" s="6" t="n">
        <f aca="false">SUM('Raw Data'!K81:P81)</f>
        <v>89</v>
      </c>
      <c r="E81" s="8" t="n">
        <f aca="false">D81/6</f>
        <v>14.8333333333333</v>
      </c>
      <c r="F81" s="9" t="n">
        <f aca="false">D81*'Raw Data'!G81</f>
        <v>1415100</v>
      </c>
      <c r="G81" s="9" t="n">
        <f aca="false">D81*'Raw Data'!F81</f>
        <v>796550</v>
      </c>
      <c r="H81" s="9" t="n">
        <f aca="false">F81-G81</f>
        <v>618550</v>
      </c>
      <c r="I81" s="6" t="n">
        <f aca="false">'Raw Data'!H81</f>
        <v>91</v>
      </c>
      <c r="J81" s="6" t="n">
        <f aca="false">'Raw Data'!I81</f>
        <v>22</v>
      </c>
      <c r="K81" s="8" t="n">
        <f aca="false">IF(I81=0,0,D81/I81)</f>
        <v>0.978021978021978</v>
      </c>
      <c r="L81" s="8" t="n">
        <f aca="false">IF(E81=0,999,I81/E81)</f>
        <v>6.13483146067416</v>
      </c>
      <c r="M81" s="6" t="str">
        <f aca="false">IF(D81=0,"Dead Stock",IF(I81&lt;=J81,"Reorder Needed",IF(L81&gt;6,"Overstocked","Healthy")))</f>
        <v>Overstocked</v>
      </c>
      <c r="N81" s="10" t="n">
        <f aca="false">F81/SUM($F$2:$F$151)</f>
        <v>0.00806033557903666</v>
      </c>
      <c r="O81" s="10" t="n">
        <f aca="false">SUMPRODUCT(($F$2:$F$151&gt;=F81)*$F$2:$F$151)/SUM($F$2:$F$151)</f>
        <v>0.679759296085671</v>
      </c>
      <c r="P81" s="6" t="str">
        <f aca="false">IF(O81&lt;=0.8,"A",IF(O81&lt;=0.95,"B","C"))</f>
        <v>A</v>
      </c>
      <c r="Q81" s="6" t="str">
        <f aca="false">IF(D81=0,"Yes","No")</f>
        <v>No</v>
      </c>
    </row>
    <row r="82" customFormat="false" ht="15" hidden="false" customHeight="true" outlineLevel="0" collapsed="false">
      <c r="A82" s="3" t="str">
        <f aca="false">'Raw Data'!A82</f>
        <v>SKU-1122</v>
      </c>
      <c r="B82" s="3" t="str">
        <f aca="false">'Raw Data'!B82</f>
        <v>Zenith Earbuds H3</v>
      </c>
      <c r="C82" s="3" t="str">
        <f aca="false">'Raw Data'!C82</f>
        <v>Electronics</v>
      </c>
      <c r="D82" s="3" t="n">
        <f aca="false">SUM('Raw Data'!K82:P82)</f>
        <v>27</v>
      </c>
      <c r="E82" s="4" t="n">
        <f aca="false">D82/6</f>
        <v>4.5</v>
      </c>
      <c r="F82" s="5" t="n">
        <f aca="false">D82*'Raw Data'!G82</f>
        <v>192510</v>
      </c>
      <c r="G82" s="5" t="n">
        <f aca="false">D82*'Raw Data'!F82</f>
        <v>103950</v>
      </c>
      <c r="H82" s="5" t="n">
        <f aca="false">F82-G82</f>
        <v>88560</v>
      </c>
      <c r="I82" s="3" t="n">
        <f aca="false">'Raw Data'!H82</f>
        <v>41</v>
      </c>
      <c r="J82" s="3" t="n">
        <f aca="false">'Raw Data'!I82</f>
        <v>6</v>
      </c>
      <c r="K82" s="4" t="n">
        <f aca="false">IF(I82=0,0,D82/I82)</f>
        <v>0.658536585365854</v>
      </c>
      <c r="L82" s="4" t="n">
        <f aca="false">IF(E82=0,999,I82/E82)</f>
        <v>9.11111111111111</v>
      </c>
      <c r="M82" s="6" t="str">
        <f aca="false">IF(D82=0,"Dead Stock",IF(I82&lt;=J82,"Reorder Needed",IF(L82&gt;6,"Overstocked","Healthy")))</f>
        <v>Overstocked</v>
      </c>
      <c r="N82" s="7" t="n">
        <f aca="false">F82/SUM($F$2:$F$151)</f>
        <v>0.00109652689019882</v>
      </c>
      <c r="O82" s="7" t="n">
        <f aca="false">SUMPRODUCT(($F$2:$F$151&gt;=F82)*$F$2:$F$151)/SUM($F$2:$F$151)</f>
        <v>0.99304456435427</v>
      </c>
      <c r="P82" s="6" t="str">
        <f aca="false">IF(O82&lt;=0.8,"A",IF(O82&lt;=0.95,"B","C"))</f>
        <v>C</v>
      </c>
      <c r="Q82" s="6" t="str">
        <f aca="false">IF(D82=0,"Yes","No")</f>
        <v>No</v>
      </c>
    </row>
    <row r="83" customFormat="false" ht="15" hidden="false" customHeight="true" outlineLevel="0" collapsed="false">
      <c r="A83" s="6" t="str">
        <f aca="false">'Raw Data'!A83</f>
        <v>SKU-1123</v>
      </c>
      <c r="B83" s="6" t="str">
        <f aca="false">'Raw Data'!B83</f>
        <v>Lagoona Earbuds I4</v>
      </c>
      <c r="C83" s="6" t="str">
        <f aca="false">'Raw Data'!C83</f>
        <v>Electronics</v>
      </c>
      <c r="D83" s="6" t="n">
        <f aca="false">SUM('Raw Data'!K83:P83)</f>
        <v>9</v>
      </c>
      <c r="E83" s="8" t="n">
        <f aca="false">D83/6</f>
        <v>1.5</v>
      </c>
      <c r="F83" s="9" t="n">
        <f aca="false">D83*'Raw Data'!G83</f>
        <v>160830</v>
      </c>
      <c r="G83" s="9" t="n">
        <f aca="false">D83*'Raw Data'!F83</f>
        <v>76500</v>
      </c>
      <c r="H83" s="9" t="n">
        <f aca="false">F83-G83</f>
        <v>84330</v>
      </c>
      <c r="I83" s="6" t="n">
        <f aca="false">'Raw Data'!H83</f>
        <v>55</v>
      </c>
      <c r="J83" s="6" t="n">
        <f aca="false">'Raw Data'!I83</f>
        <v>5</v>
      </c>
      <c r="K83" s="8" t="n">
        <f aca="false">IF(I83=0,0,D83/I83)</f>
        <v>0.163636363636364</v>
      </c>
      <c r="L83" s="8" t="n">
        <f aca="false">IF(E83=0,999,I83/E83)</f>
        <v>36.6666666666667</v>
      </c>
      <c r="M83" s="6" t="str">
        <f aca="false">IF(D83=0,"Dead Stock",IF(I83&lt;=J83,"Reorder Needed",IF(L83&gt;6,"Overstocked","Healthy")))</f>
        <v>Overstocked</v>
      </c>
      <c r="N83" s="10" t="n">
        <f aca="false">F83/SUM($F$2:$F$151)</f>
        <v>0.0009160792673143</v>
      </c>
      <c r="O83" s="10" t="n">
        <f aca="false">SUMPRODUCT(($F$2:$F$151&gt;=F83)*$F$2:$F$151)/SUM($F$2:$F$151)</f>
        <v>0.996954433728531</v>
      </c>
      <c r="P83" s="6" t="str">
        <f aca="false">IF(O83&lt;=0.8,"A",IF(O83&lt;=0.95,"B","C"))</f>
        <v>C</v>
      </c>
      <c r="Q83" s="6" t="str">
        <f aca="false">IF(D83=0,"Yes","No")</f>
        <v>No</v>
      </c>
    </row>
    <row r="84" customFormat="false" ht="15" hidden="false" customHeight="true" outlineLevel="0" collapsed="false">
      <c r="A84" s="3" t="str">
        <f aca="false">'Raw Data'!A84</f>
        <v>SKU-1124</v>
      </c>
      <c r="B84" s="3" t="str">
        <f aca="false">'Raw Data'!B84</f>
        <v>Mela Earbuds A5</v>
      </c>
      <c r="C84" s="3" t="str">
        <f aca="false">'Raw Data'!C84</f>
        <v>Electronics</v>
      </c>
      <c r="D84" s="3" t="n">
        <f aca="false">SUM('Raw Data'!K84:P84)</f>
        <v>87</v>
      </c>
      <c r="E84" s="4" t="n">
        <f aca="false">D84/6</f>
        <v>14.5</v>
      </c>
      <c r="F84" s="5" t="n">
        <f aca="false">D84*'Raw Data'!G84</f>
        <v>935250</v>
      </c>
      <c r="G84" s="5" t="n">
        <f aca="false">D84*'Raw Data'!F84</f>
        <v>515040</v>
      </c>
      <c r="H84" s="5" t="n">
        <f aca="false">F84-G84</f>
        <v>420210</v>
      </c>
      <c r="I84" s="3" t="n">
        <f aca="false">'Raw Data'!H84</f>
        <v>81</v>
      </c>
      <c r="J84" s="3" t="n">
        <f aca="false">'Raw Data'!I84</f>
        <v>21</v>
      </c>
      <c r="K84" s="4" t="n">
        <f aca="false">IF(I84=0,0,D84/I84)</f>
        <v>1.07407407407407</v>
      </c>
      <c r="L84" s="4" t="n">
        <f aca="false">IF(E84=0,999,I84/E84)</f>
        <v>5.58620689655172</v>
      </c>
      <c r="M84" s="6" t="str">
        <f aca="false">IF(D84=0,"Dead Stock",IF(I84&lt;=J84,"Reorder Needed",IF(L84&gt;6,"Overstocked","Healthy")))</f>
        <v>Healthy</v>
      </c>
      <c r="N84" s="7" t="n">
        <f aca="false">F84/SUM($F$2:$F$151)</f>
        <v>0.0053271350790008</v>
      </c>
      <c r="O84" s="7" t="n">
        <f aca="false">SUMPRODUCT(($F$2:$F$151&gt;=F84)*$F$2:$F$151)/SUM($F$2:$F$151)</f>
        <v>0.847002800868359</v>
      </c>
      <c r="P84" s="6" t="str">
        <f aca="false">IF(O84&lt;=0.8,"A",IF(O84&lt;=0.95,"B","C"))</f>
        <v>B</v>
      </c>
      <c r="Q84" s="6" t="str">
        <f aca="false">IF(D84=0,"Yes","No")</f>
        <v>No</v>
      </c>
    </row>
    <row r="85" customFormat="false" ht="15" hidden="false" customHeight="true" outlineLevel="0" collapsed="false">
      <c r="A85" s="6" t="str">
        <f aca="false">'Raw Data'!A85</f>
        <v>SKU-1125</v>
      </c>
      <c r="B85" s="6" t="str">
        <f aca="false">'Raw Data'!B85</f>
        <v>Drift Earbuds J6</v>
      </c>
      <c r="C85" s="6" t="str">
        <f aca="false">'Raw Data'!C85</f>
        <v>Electronics</v>
      </c>
      <c r="D85" s="6" t="n">
        <f aca="false">SUM('Raw Data'!K85:P85)</f>
        <v>79</v>
      </c>
      <c r="E85" s="8" t="n">
        <f aca="false">D85/6</f>
        <v>13.1666666666667</v>
      </c>
      <c r="F85" s="9" t="n">
        <f aca="false">D85*'Raw Data'!G85</f>
        <v>317580</v>
      </c>
      <c r="G85" s="9" t="n">
        <f aca="false">D85*'Raw Data'!F85</f>
        <v>146150</v>
      </c>
      <c r="H85" s="9" t="n">
        <f aca="false">F85-G85</f>
        <v>171430</v>
      </c>
      <c r="I85" s="6" t="n">
        <f aca="false">'Raw Data'!H85</f>
        <v>43</v>
      </c>
      <c r="J85" s="6" t="n">
        <f aca="false">'Raw Data'!I85</f>
        <v>19</v>
      </c>
      <c r="K85" s="8" t="n">
        <f aca="false">IF(I85=0,0,D85/I85)</f>
        <v>1.83720930232558</v>
      </c>
      <c r="L85" s="8" t="n">
        <f aca="false">IF(E85=0,999,I85/E85)</f>
        <v>3.26582278481013</v>
      </c>
      <c r="M85" s="6" t="str">
        <f aca="false">IF(D85=0,"Dead Stock",IF(I85&lt;=J85,"Reorder Needed",IF(L85&gt;6,"Overstocked","Healthy")))</f>
        <v>Healthy</v>
      </c>
      <c r="N85" s="10" t="n">
        <f aca="false">F85/SUM($F$2:$F$151)</f>
        <v>0.00180891906804499</v>
      </c>
      <c r="O85" s="10" t="n">
        <f aca="false">SUMPRODUCT(($F$2:$F$151&gt;=F85)*$F$2:$F$151)/SUM($F$2:$F$151)</f>
        <v>0.962429813820545</v>
      </c>
      <c r="P85" s="6" t="str">
        <f aca="false">IF(O85&lt;=0.8,"A",IF(O85&lt;=0.95,"B","C"))</f>
        <v>C</v>
      </c>
      <c r="Q85" s="6" t="str">
        <f aca="false">IF(D85=0,"Yes","No")</f>
        <v>No</v>
      </c>
    </row>
    <row r="86" customFormat="false" ht="15" hidden="false" customHeight="true" outlineLevel="0" collapsed="false">
      <c r="A86" s="3" t="str">
        <f aca="false">'Raw Data'!A86</f>
        <v>SKU-1126</v>
      </c>
      <c r="B86" s="3" t="str">
        <f aca="false">'Raw Data'!B86</f>
        <v>Bravo Earbuds A7</v>
      </c>
      <c r="C86" s="3" t="str">
        <f aca="false">'Raw Data'!C86</f>
        <v>Electronics</v>
      </c>
      <c r="D86" s="3" t="n">
        <f aca="false">SUM('Raw Data'!K86:P86)</f>
        <v>111</v>
      </c>
      <c r="E86" s="4" t="n">
        <f aca="false">D86/6</f>
        <v>18.5</v>
      </c>
      <c r="F86" s="5" t="n">
        <f aca="false">D86*'Raw Data'!G86</f>
        <v>2471970</v>
      </c>
      <c r="G86" s="5" t="n">
        <f aca="false">D86*'Raw Data'!F86</f>
        <v>1399710</v>
      </c>
      <c r="H86" s="5" t="n">
        <f aca="false">F86-G86</f>
        <v>1072260</v>
      </c>
      <c r="I86" s="3" t="n">
        <f aca="false">'Raw Data'!H86</f>
        <v>30</v>
      </c>
      <c r="J86" s="3" t="n">
        <f aca="false">'Raw Data'!I86</f>
        <v>27</v>
      </c>
      <c r="K86" s="4" t="n">
        <f aca="false">IF(I86=0,0,D86/I86)</f>
        <v>3.7</v>
      </c>
      <c r="L86" s="4" t="n">
        <f aca="false">IF(E86=0,999,I86/E86)</f>
        <v>1.62162162162162</v>
      </c>
      <c r="M86" s="6" t="str">
        <f aca="false">IF(D86=0,"Dead Stock",IF(I86&lt;=J86,"Reorder Needed",IF(L86&gt;6,"Overstocked","Healthy")))</f>
        <v>Healthy</v>
      </c>
      <c r="N86" s="7" t="n">
        <f aca="false">F86/SUM($F$2:$F$151)</f>
        <v>0.014080211816346</v>
      </c>
      <c r="O86" s="7" t="n">
        <f aca="false">SUMPRODUCT(($F$2:$F$151&gt;=F86)*$F$2:$F$151)/SUM($F$2:$F$151)</f>
        <v>0.440133909451861</v>
      </c>
      <c r="P86" s="6" t="str">
        <f aca="false">IF(O86&lt;=0.8,"A",IF(O86&lt;=0.95,"B","C"))</f>
        <v>A</v>
      </c>
      <c r="Q86" s="6" t="str">
        <f aca="false">IF(D86=0,"Yes","No")</f>
        <v>No</v>
      </c>
    </row>
    <row r="87" customFormat="false" ht="15" hidden="false" customHeight="true" outlineLevel="0" collapsed="false">
      <c r="A87" s="6" t="str">
        <f aca="false">'Raw Data'!A87</f>
        <v>SKU-1127</v>
      </c>
      <c r="B87" s="6" t="str">
        <f aca="false">'Raw Data'!B87</f>
        <v>Bravo Earbuds E8</v>
      </c>
      <c r="C87" s="6" t="str">
        <f aca="false">'Raw Data'!C87</f>
        <v>Electronics</v>
      </c>
      <c r="D87" s="6" t="n">
        <f aca="false">SUM('Raw Data'!K87:P87)</f>
        <v>73</v>
      </c>
      <c r="E87" s="8" t="n">
        <f aca="false">D87/6</f>
        <v>12.1666666666667</v>
      </c>
      <c r="F87" s="9" t="n">
        <f aca="false">D87*'Raw Data'!G87</f>
        <v>296380</v>
      </c>
      <c r="G87" s="9" t="n">
        <f aca="false">D87*'Raw Data'!F87</f>
        <v>188340</v>
      </c>
      <c r="H87" s="9" t="n">
        <f aca="false">F87-G87</f>
        <v>108040</v>
      </c>
      <c r="I87" s="6" t="n">
        <f aca="false">'Raw Data'!H87</f>
        <v>97</v>
      </c>
      <c r="J87" s="6" t="n">
        <f aca="false">'Raw Data'!I87</f>
        <v>18</v>
      </c>
      <c r="K87" s="8" t="n">
        <f aca="false">IF(I87=0,0,D87/I87)</f>
        <v>0.752577319587629</v>
      </c>
      <c r="L87" s="8" t="n">
        <f aca="false">IF(E87=0,999,I87/E87)</f>
        <v>7.97260273972603</v>
      </c>
      <c r="M87" s="6" t="str">
        <f aca="false">IF(D87=0,"Dead Stock",IF(I87&lt;=J87,"Reorder Needed",IF(L87&gt;6,"Overstocked","Healthy")))</f>
        <v>Overstocked</v>
      </c>
      <c r="N87" s="10" t="n">
        <f aca="false">F87/SUM($F$2:$F$151)</f>
        <v>0.00168816497697328</v>
      </c>
      <c r="O87" s="10" t="n">
        <f aca="false">SUMPRODUCT(($F$2:$F$151&gt;=F87)*$F$2:$F$151)/SUM($F$2:$F$151)</f>
        <v>0.972829532076188</v>
      </c>
      <c r="P87" s="6" t="str">
        <f aca="false">IF(O87&lt;=0.8,"A",IF(O87&lt;=0.95,"B","C"))</f>
        <v>C</v>
      </c>
      <c r="Q87" s="6" t="str">
        <f aca="false">IF(D87=0,"Yes","No")</f>
        <v>No</v>
      </c>
    </row>
    <row r="88" customFormat="false" ht="15" hidden="false" customHeight="true" outlineLevel="0" collapsed="false">
      <c r="A88" s="3" t="str">
        <f aca="false">'Raw Data'!A88</f>
        <v>SKU-1128</v>
      </c>
      <c r="B88" s="3" t="str">
        <f aca="false">'Raw Data'!B88</f>
        <v>Urbanix USB Cable B1</v>
      </c>
      <c r="C88" s="3" t="str">
        <f aca="false">'Raw Data'!C88</f>
        <v>Electronics</v>
      </c>
      <c r="D88" s="3" t="n">
        <f aca="false">SUM('Raw Data'!K88:P88)</f>
        <v>66</v>
      </c>
      <c r="E88" s="4" t="n">
        <f aca="false">D88/6</f>
        <v>11</v>
      </c>
      <c r="F88" s="5" t="n">
        <f aca="false">D88*'Raw Data'!G88</f>
        <v>179520</v>
      </c>
      <c r="G88" s="5" t="n">
        <f aca="false">D88*'Raw Data'!F88</f>
        <v>95700</v>
      </c>
      <c r="H88" s="5" t="n">
        <f aca="false">F88-G88</f>
        <v>83820</v>
      </c>
      <c r="I88" s="3" t="n">
        <f aca="false">'Raw Data'!H88</f>
        <v>57</v>
      </c>
      <c r="J88" s="3" t="n">
        <f aca="false">'Raw Data'!I88</f>
        <v>16</v>
      </c>
      <c r="K88" s="4" t="n">
        <f aca="false">IF(I88=0,0,D88/I88)</f>
        <v>1.15789473684211</v>
      </c>
      <c r="L88" s="4" t="n">
        <f aca="false">IF(E88=0,999,I88/E88)</f>
        <v>5.18181818181818</v>
      </c>
      <c r="M88" s="6" t="str">
        <f aca="false">IF(D88=0,"Dead Stock",IF(I88&lt;=J88,"Reorder Needed",IF(L88&gt;6,"Overstocked","Healthy")))</f>
        <v>Healthy</v>
      </c>
      <c r="N88" s="7" t="n">
        <f aca="false">F88/SUM($F$2:$F$151)</f>
        <v>0.00102253652967893</v>
      </c>
      <c r="O88" s="7" t="n">
        <f aca="false">SUMPRODUCT(($F$2:$F$151&gt;=F88)*$F$2:$F$151)/SUM($F$2:$F$151)</f>
        <v>0.995100573633196</v>
      </c>
      <c r="P88" s="6" t="str">
        <f aca="false">IF(O88&lt;=0.8,"A",IF(O88&lt;=0.95,"B","C"))</f>
        <v>C</v>
      </c>
      <c r="Q88" s="6" t="str">
        <f aca="false">IF(D88=0,"Yes","No")</f>
        <v>No</v>
      </c>
    </row>
    <row r="89" customFormat="false" ht="15" hidden="false" customHeight="true" outlineLevel="0" collapsed="false">
      <c r="A89" s="6" t="str">
        <f aca="false">'Raw Data'!A89</f>
        <v>SKU-1129</v>
      </c>
      <c r="B89" s="6" t="str">
        <f aca="false">'Raw Data'!B89</f>
        <v>Primecraft USB Cable G2</v>
      </c>
      <c r="C89" s="6" t="str">
        <f aca="false">'Raw Data'!C89</f>
        <v>Electronics</v>
      </c>
      <c r="D89" s="6" t="n">
        <f aca="false">SUM('Raw Data'!K89:P89)</f>
        <v>253</v>
      </c>
      <c r="E89" s="8" t="n">
        <f aca="false">D89/6</f>
        <v>42.1666666666667</v>
      </c>
      <c r="F89" s="9" t="n">
        <f aca="false">D89*'Raw Data'!G89</f>
        <v>1735580</v>
      </c>
      <c r="G89" s="9" t="n">
        <f aca="false">D89*'Raw Data'!F89</f>
        <v>1270060</v>
      </c>
      <c r="H89" s="9" t="n">
        <f aca="false">F89-G89</f>
        <v>465520</v>
      </c>
      <c r="I89" s="6" t="n">
        <f aca="false">'Raw Data'!H89</f>
        <v>56</v>
      </c>
      <c r="J89" s="6" t="n">
        <f aca="false">'Raw Data'!I89</f>
        <v>63</v>
      </c>
      <c r="K89" s="8" t="n">
        <f aca="false">IF(I89=0,0,D89/I89)</f>
        <v>4.51785714285714</v>
      </c>
      <c r="L89" s="8" t="n">
        <f aca="false">IF(E89=0,999,I89/E89)</f>
        <v>1.32806324110672</v>
      </c>
      <c r="M89" s="6" t="str">
        <f aca="false">IF(D89=0,"Dead Stock",IF(I89&lt;=J89,"Reorder Needed",IF(L89&gt;6,"Overstocked","Healthy")))</f>
        <v>Reorder Needed</v>
      </c>
      <c r="N89" s="10" t="n">
        <f aca="false">F89/SUM($F$2:$F$151)</f>
        <v>0.00988577289538862</v>
      </c>
      <c r="O89" s="10" t="n">
        <f aca="false">SUMPRODUCT(($F$2:$F$151&gt;=F89)*$F$2:$F$151)/SUM($F$2:$F$151)</f>
        <v>0.564153544294908</v>
      </c>
      <c r="P89" s="6" t="str">
        <f aca="false">IF(O89&lt;=0.8,"A",IF(O89&lt;=0.95,"B","C"))</f>
        <v>A</v>
      </c>
      <c r="Q89" s="6" t="str">
        <f aca="false">IF(D89=0,"Yes","No")</f>
        <v>No</v>
      </c>
    </row>
    <row r="90" customFormat="false" ht="15" hidden="false" customHeight="true" outlineLevel="0" collapsed="false">
      <c r="A90" s="3" t="str">
        <f aca="false">'Raw Data'!A90</f>
        <v>SKU-1131</v>
      </c>
      <c r="B90" s="3" t="str">
        <f aca="false">'Raw Data'!B90</f>
        <v>Coastline USB Cable J4</v>
      </c>
      <c r="C90" s="3" t="str">
        <f aca="false">'Raw Data'!C90</f>
        <v>Electronics</v>
      </c>
      <c r="D90" s="3" t="n">
        <f aca="false">SUM('Raw Data'!K90:P90)</f>
        <v>256</v>
      </c>
      <c r="E90" s="4" t="n">
        <f aca="false">D90/6</f>
        <v>42.6666666666667</v>
      </c>
      <c r="F90" s="5" t="n">
        <f aca="false">D90*'Raw Data'!G90</f>
        <v>4157440</v>
      </c>
      <c r="G90" s="5" t="n">
        <f aca="false">D90*'Raw Data'!F90</f>
        <v>2826240</v>
      </c>
      <c r="H90" s="5" t="n">
        <f aca="false">F90-G90</f>
        <v>1331200</v>
      </c>
      <c r="I90" s="3" t="n">
        <f aca="false">'Raw Data'!H90</f>
        <v>39</v>
      </c>
      <c r="J90" s="3" t="n">
        <f aca="false">'Raw Data'!I90</f>
        <v>64</v>
      </c>
      <c r="K90" s="4" t="n">
        <f aca="false">IF(I90=0,0,D90/I90)</f>
        <v>6.56410256410256</v>
      </c>
      <c r="L90" s="4" t="n">
        <f aca="false">IF(E90=0,999,I90/E90)</f>
        <v>0.9140625</v>
      </c>
      <c r="M90" s="6" t="str">
        <f aca="false">IF(D90=0,"Dead Stock",IF(I90&lt;=J90,"Reorder Needed",IF(L90&gt;6,"Overstocked","Healthy")))</f>
        <v>Reorder Needed</v>
      </c>
      <c r="N90" s="7" t="n">
        <f aca="false">F90/SUM($F$2:$F$151)</f>
        <v>0.0236805607728854</v>
      </c>
      <c r="O90" s="7" t="n">
        <f aca="false">SUMPRODUCT(($F$2:$F$151&gt;=F90)*$F$2:$F$151)/SUM($F$2:$F$151)</f>
        <v>0.233138214847843</v>
      </c>
      <c r="P90" s="6" t="str">
        <f aca="false">IF(O90&lt;=0.8,"A",IF(O90&lt;=0.95,"B","C"))</f>
        <v>A</v>
      </c>
      <c r="Q90" s="6" t="str">
        <f aca="false">IF(D90=0,"Yes","No")</f>
        <v>No</v>
      </c>
    </row>
    <row r="91" customFormat="false" ht="15" hidden="false" customHeight="true" outlineLevel="0" collapsed="false">
      <c r="A91" s="6" t="str">
        <f aca="false">'Raw Data'!A91</f>
        <v>SKU-1132</v>
      </c>
      <c r="B91" s="6" t="str">
        <f aca="false">'Raw Data'!B91</f>
        <v>Tide USB Cable F5</v>
      </c>
      <c r="C91" s="6" t="str">
        <f aca="false">'Raw Data'!C91</f>
        <v>Electronics</v>
      </c>
      <c r="D91" s="6" t="n">
        <f aca="false">SUM('Raw Data'!K91:P91)</f>
        <v>89</v>
      </c>
      <c r="E91" s="8" t="n">
        <f aca="false">D91/6</f>
        <v>14.8333333333333</v>
      </c>
      <c r="F91" s="9" t="n">
        <f aca="false">D91*'Raw Data'!G91</f>
        <v>205590</v>
      </c>
      <c r="G91" s="9" t="n">
        <f aca="false">D91*'Raw Data'!F91</f>
        <v>132610</v>
      </c>
      <c r="H91" s="9" t="n">
        <f aca="false">F91-G91</f>
        <v>72980</v>
      </c>
      <c r="I91" s="6" t="n">
        <f aca="false">'Raw Data'!H91</f>
        <v>53</v>
      </c>
      <c r="J91" s="6" t="n">
        <f aca="false">'Raw Data'!I91</f>
        <v>22</v>
      </c>
      <c r="K91" s="8" t="n">
        <f aca="false">IF(I91=0,0,D91/I91)</f>
        <v>1.67924528301887</v>
      </c>
      <c r="L91" s="8" t="n">
        <f aca="false">IF(E91=0,999,I91/E91)</f>
        <v>3.57303370786517</v>
      </c>
      <c r="M91" s="6" t="str">
        <f aca="false">IF(D91=0,"Dead Stock",IF(I91&lt;=J91,"Reorder Needed",IF(L91&gt;6,"Overstocked","Healthy")))</f>
        <v>Healthy</v>
      </c>
      <c r="N91" s="10" t="n">
        <f aca="false">F91/SUM($F$2:$F$151)</f>
        <v>0.00117102988601099</v>
      </c>
      <c r="O91" s="10" t="n">
        <f aca="false">SUMPRODUCT(($F$2:$F$151&gt;=F91)*$F$2:$F$151)/SUM($F$2:$F$151)</f>
        <v>0.990820239821042</v>
      </c>
      <c r="P91" s="6" t="str">
        <f aca="false">IF(O91&lt;=0.8,"A",IF(O91&lt;=0.95,"B","C"))</f>
        <v>C</v>
      </c>
      <c r="Q91" s="6" t="str">
        <f aca="false">IF(D91=0,"Yes","No")</f>
        <v>No</v>
      </c>
    </row>
    <row r="92" customFormat="false" ht="15" hidden="false" customHeight="true" outlineLevel="0" collapsed="false">
      <c r="A92" s="3" t="str">
        <f aca="false">'Raw Data'!A92</f>
        <v>SKU-1133</v>
      </c>
      <c r="B92" s="3" t="str">
        <f aca="false">'Raw Data'!B92</f>
        <v>Coastline USB Cable A6</v>
      </c>
      <c r="C92" s="3" t="str">
        <f aca="false">'Raw Data'!C92</f>
        <v>Electronics</v>
      </c>
      <c r="D92" s="3" t="n">
        <f aca="false">SUM('Raw Data'!K92:P92)</f>
        <v>238</v>
      </c>
      <c r="E92" s="4" t="n">
        <f aca="false">D92/6</f>
        <v>39.6666666666667</v>
      </c>
      <c r="F92" s="5" t="n">
        <f aca="false">D92*'Raw Data'!G92</f>
        <v>2801260</v>
      </c>
      <c r="G92" s="5" t="n">
        <f aca="false">D92*'Raw Data'!F92</f>
        <v>1544620</v>
      </c>
      <c r="H92" s="5" t="n">
        <f aca="false">F92-G92</f>
        <v>1256640</v>
      </c>
      <c r="I92" s="3" t="n">
        <f aca="false">'Raw Data'!H92</f>
        <v>53</v>
      </c>
      <c r="J92" s="3" t="n">
        <f aca="false">'Raw Data'!I92</f>
        <v>59</v>
      </c>
      <c r="K92" s="4" t="n">
        <f aca="false">IF(I92=0,0,D92/I92)</f>
        <v>4.49056603773585</v>
      </c>
      <c r="L92" s="4" t="n">
        <f aca="false">IF(E92=0,999,I92/E92)</f>
        <v>1.33613445378151</v>
      </c>
      <c r="M92" s="6" t="str">
        <f aca="false">IF(D92=0,"Dead Stock",IF(I92&lt;=J92,"Reorder Needed",IF(L92&gt;6,"Overstocked","Healthy")))</f>
        <v>Reorder Needed</v>
      </c>
      <c r="N92" s="7" t="n">
        <f aca="false">F92/SUM($F$2:$F$151)</f>
        <v>0.015955830431865</v>
      </c>
      <c r="O92" s="7" t="n">
        <f aca="false">SUMPRODUCT(($F$2:$F$151&gt;=F92)*$F$2:$F$151)/SUM($F$2:$F$151)</f>
        <v>0.365772230101933</v>
      </c>
      <c r="P92" s="6" t="str">
        <f aca="false">IF(O92&lt;=0.8,"A",IF(O92&lt;=0.95,"B","C"))</f>
        <v>A</v>
      </c>
      <c r="Q92" s="6" t="str">
        <f aca="false">IF(D92=0,"Yes","No")</f>
        <v>No</v>
      </c>
    </row>
    <row r="93" customFormat="false" ht="15" hidden="false" customHeight="true" outlineLevel="0" collapsed="false">
      <c r="A93" s="6" t="str">
        <f aca="false">'Raw Data'!A93</f>
        <v>SKU-1134</v>
      </c>
      <c r="B93" s="6" t="str">
        <f aca="false">'Raw Data'!B93</f>
        <v>Nova USB Cable B7</v>
      </c>
      <c r="C93" s="6" t="str">
        <f aca="false">'Raw Data'!C93</f>
        <v>Electronics</v>
      </c>
      <c r="D93" s="6" t="n">
        <f aca="false">SUM('Raw Data'!K93:P93)</f>
        <v>96</v>
      </c>
      <c r="E93" s="8" t="n">
        <f aca="false">D93/6</f>
        <v>16</v>
      </c>
      <c r="F93" s="9" t="n">
        <f aca="false">D93*'Raw Data'!G93</f>
        <v>1236480</v>
      </c>
      <c r="G93" s="9" t="n">
        <f aca="false">D93*'Raw Data'!F93</f>
        <v>613440</v>
      </c>
      <c r="H93" s="9" t="n">
        <f aca="false">F93-G93</f>
        <v>623040</v>
      </c>
      <c r="I93" s="6" t="n">
        <f aca="false">'Raw Data'!H93</f>
        <v>37</v>
      </c>
      <c r="J93" s="6" t="n">
        <f aca="false">'Raw Data'!I93</f>
        <v>24</v>
      </c>
      <c r="K93" s="8" t="n">
        <f aca="false">IF(I93=0,0,D93/I93)</f>
        <v>2.59459459459459</v>
      </c>
      <c r="L93" s="8" t="n">
        <f aca="false">IF(E93=0,999,I93/E93)</f>
        <v>2.3125</v>
      </c>
      <c r="M93" s="6" t="str">
        <f aca="false">IF(D93=0,"Dead Stock",IF(I93&lt;=J93,"Reorder Needed",IF(L93&gt;6,"Overstocked","Healthy")))</f>
        <v>Healthy</v>
      </c>
      <c r="N93" s="10" t="n">
        <f aca="false">F93/SUM($F$2:$F$151)</f>
        <v>0.00704292540228058</v>
      </c>
      <c r="O93" s="10" t="n">
        <f aca="false">SUMPRODUCT(($F$2:$F$151&gt;=F93)*$F$2:$F$151)/SUM($F$2:$F$151)</f>
        <v>0.754063389404432</v>
      </c>
      <c r="P93" s="6" t="str">
        <f aca="false">IF(O93&lt;=0.8,"A",IF(O93&lt;=0.95,"B","C"))</f>
        <v>A</v>
      </c>
      <c r="Q93" s="6" t="str">
        <f aca="false">IF(D93=0,"Yes","No")</f>
        <v>No</v>
      </c>
    </row>
    <row r="94" customFormat="false" ht="15" hidden="false" customHeight="true" outlineLevel="0" collapsed="false">
      <c r="A94" s="3" t="str">
        <f aca="false">'Raw Data'!A94</f>
        <v>SKU-1135</v>
      </c>
      <c r="B94" s="3" t="str">
        <f aca="false">'Raw Data'!B94</f>
        <v>Bravo USB Cable H8</v>
      </c>
      <c r="C94" s="3" t="str">
        <f aca="false">'Raw Data'!C94</f>
        <v>Electronics</v>
      </c>
      <c r="D94" s="3" t="n">
        <f aca="false">SUM('Raw Data'!K94:P94)</f>
        <v>236</v>
      </c>
      <c r="E94" s="4" t="n">
        <f aca="false">D94/6</f>
        <v>39.3333333333333</v>
      </c>
      <c r="F94" s="5" t="n">
        <f aca="false">D94*'Raw Data'!G94</f>
        <v>1444320</v>
      </c>
      <c r="G94" s="5" t="n">
        <f aca="false">D94*'Raw Data'!F94</f>
        <v>686760</v>
      </c>
      <c r="H94" s="5" t="n">
        <f aca="false">F94-G94</f>
        <v>757560</v>
      </c>
      <c r="I94" s="3" t="n">
        <f aca="false">'Raw Data'!H94</f>
        <v>42</v>
      </c>
      <c r="J94" s="3" t="n">
        <f aca="false">'Raw Data'!I94</f>
        <v>59</v>
      </c>
      <c r="K94" s="4" t="n">
        <f aca="false">IF(I94=0,0,D94/I94)</f>
        <v>5.61904761904762</v>
      </c>
      <c r="L94" s="4" t="n">
        <f aca="false">IF(E94=0,999,I94/E94)</f>
        <v>1.06779661016949</v>
      </c>
      <c r="M94" s="6" t="str">
        <f aca="false">IF(D94=0,"Dead Stock",IF(I94&lt;=J94,"Reorder Needed",IF(L94&gt;6,"Overstocked","Healthy")))</f>
        <v>Reorder Needed</v>
      </c>
      <c r="N94" s="7" t="n">
        <f aca="false">F94/SUM($F$2:$F$151)</f>
        <v>0.0082267711705987</v>
      </c>
      <c r="O94" s="7" t="n">
        <f aca="false">SUMPRODUCT(($F$2:$F$151&gt;=F94)*$F$2:$F$151)/SUM($F$2:$F$151)</f>
        <v>0.671698960506634</v>
      </c>
      <c r="P94" s="6" t="str">
        <f aca="false">IF(O94&lt;=0.8,"A",IF(O94&lt;=0.95,"B","C"))</f>
        <v>A</v>
      </c>
      <c r="Q94" s="6" t="str">
        <f aca="false">IF(D94=0,"Yes","No")</f>
        <v>No</v>
      </c>
    </row>
    <row r="95" customFormat="false" ht="15" hidden="false" customHeight="true" outlineLevel="0" collapsed="false">
      <c r="A95" s="6" t="str">
        <f aca="false">'Raw Data'!A95</f>
        <v>SKU-1136</v>
      </c>
      <c r="B95" s="6" t="str">
        <f aca="false">'Raw Data'!B95</f>
        <v>Tide Throw Pillow E1</v>
      </c>
      <c r="C95" s="6" t="str">
        <f aca="false">'Raw Data'!C95</f>
        <v>Home &amp; Living</v>
      </c>
      <c r="D95" s="6" t="n">
        <f aca="false">SUM('Raw Data'!K95:P95)</f>
        <v>101</v>
      </c>
      <c r="E95" s="8" t="n">
        <f aca="false">D95/6</f>
        <v>16.8333333333333</v>
      </c>
      <c r="F95" s="9" t="n">
        <f aca="false">D95*'Raw Data'!G95</f>
        <v>1000910</v>
      </c>
      <c r="G95" s="9" t="n">
        <f aca="false">D95*'Raw Data'!F95</f>
        <v>761540</v>
      </c>
      <c r="H95" s="9" t="n">
        <f aca="false">F95-G95</f>
        <v>239370</v>
      </c>
      <c r="I95" s="6" t="n">
        <f aca="false">'Raw Data'!H95</f>
        <v>96</v>
      </c>
      <c r="J95" s="6" t="n">
        <f aca="false">'Raw Data'!I95</f>
        <v>25</v>
      </c>
      <c r="K95" s="8" t="n">
        <f aca="false">IF(I95=0,0,D95/I95)</f>
        <v>1.05208333333333</v>
      </c>
      <c r="L95" s="8" t="n">
        <f aca="false">IF(E95=0,999,I95/E95)</f>
        <v>5.7029702970297</v>
      </c>
      <c r="M95" s="6" t="str">
        <f aca="false">IF(D95=0,"Dead Stock",IF(I95&lt;=J95,"Reorder Needed",IF(L95&gt;6,"Overstocked","Healthy")))</f>
        <v>Healthy</v>
      </c>
      <c r="N95" s="10" t="n">
        <f aca="false">F95/SUM($F$2:$F$151)</f>
        <v>0.00570113100446158</v>
      </c>
      <c r="O95" s="10" t="n">
        <f aca="false">SUMPRODUCT(($F$2:$F$151&gt;=F95)*$F$2:$F$151)/SUM($F$2:$F$151)</f>
        <v>0.830676847755463</v>
      </c>
      <c r="P95" s="6" t="str">
        <f aca="false">IF(O95&lt;=0.8,"A",IF(O95&lt;=0.95,"B","C"))</f>
        <v>B</v>
      </c>
      <c r="Q95" s="6" t="str">
        <f aca="false">IF(D95=0,"Yes","No")</f>
        <v>No</v>
      </c>
    </row>
    <row r="96" customFormat="false" ht="15" hidden="false" customHeight="true" outlineLevel="0" collapsed="false">
      <c r="A96" s="3" t="str">
        <f aca="false">'Raw Data'!A96</f>
        <v>SKU-1137</v>
      </c>
      <c r="B96" s="3" t="str">
        <f aca="false">'Raw Data'!B96</f>
        <v>Tide Throw Pillow J2</v>
      </c>
      <c r="C96" s="3" t="str">
        <f aca="false">'Raw Data'!C96</f>
        <v>Home &amp; Living</v>
      </c>
      <c r="D96" s="3" t="n">
        <f aca="false">SUM('Raw Data'!K96:P96)</f>
        <v>72</v>
      </c>
      <c r="E96" s="4" t="n">
        <f aca="false">D96/6</f>
        <v>12</v>
      </c>
      <c r="F96" s="5" t="n">
        <f aca="false">D96*'Raw Data'!G96</f>
        <v>390960</v>
      </c>
      <c r="G96" s="5" t="n">
        <f aca="false">D96*'Raw Data'!F96</f>
        <v>290160</v>
      </c>
      <c r="H96" s="5" t="n">
        <f aca="false">F96-G96</f>
        <v>100800</v>
      </c>
      <c r="I96" s="3" t="n">
        <f aca="false">'Raw Data'!H96</f>
        <v>93</v>
      </c>
      <c r="J96" s="3" t="n">
        <f aca="false">'Raw Data'!I96</f>
        <v>18</v>
      </c>
      <c r="K96" s="4" t="n">
        <f aca="false">IF(I96=0,0,D96/I96)</f>
        <v>0.774193548387097</v>
      </c>
      <c r="L96" s="4" t="n">
        <f aca="false">IF(E96=0,999,I96/E96)</f>
        <v>7.75</v>
      </c>
      <c r="M96" s="6" t="str">
        <f aca="false">IF(D96=0,"Dead Stock",IF(I96&lt;=J96,"Reorder Needed",IF(L96&gt;6,"Overstocked","Healthy")))</f>
        <v>Overstocked</v>
      </c>
      <c r="N96" s="7" t="n">
        <f aca="false">F96/SUM($F$2:$F$151)</f>
        <v>0.00222688770968848</v>
      </c>
      <c r="O96" s="7" t="n">
        <f aca="false">SUMPRODUCT(($F$2:$F$151&gt;=F96)*$F$2:$F$151)/SUM($F$2:$F$151)</f>
        <v>0.950975832606578</v>
      </c>
      <c r="P96" s="6" t="str">
        <f aca="false">IF(O96&lt;=0.8,"A",IF(O96&lt;=0.95,"B","C"))</f>
        <v>C</v>
      </c>
      <c r="Q96" s="6" t="str">
        <f aca="false">IF(D96=0,"Yes","No")</f>
        <v>No</v>
      </c>
    </row>
    <row r="97" customFormat="false" ht="15" hidden="false" customHeight="true" outlineLevel="0" collapsed="false">
      <c r="A97" s="6" t="str">
        <f aca="false">'Raw Data'!A97</f>
        <v>SKU-1139</v>
      </c>
      <c r="B97" s="6" t="str">
        <f aca="false">'Raw Data'!B97</f>
        <v>Bravo Throw Pillow F4</v>
      </c>
      <c r="C97" s="6" t="str">
        <f aca="false">'Raw Data'!C97</f>
        <v>Home &amp; Living</v>
      </c>
      <c r="D97" s="6" t="n">
        <f aca="false">SUM('Raw Data'!K97:P97)</f>
        <v>70</v>
      </c>
      <c r="E97" s="8" t="n">
        <f aca="false">D97/6</f>
        <v>11.6666666666667</v>
      </c>
      <c r="F97" s="9" t="n">
        <f aca="false">D97*'Raw Data'!G97</f>
        <v>1813700</v>
      </c>
      <c r="G97" s="9" t="n">
        <f aca="false">D97*'Raw Data'!F97</f>
        <v>1047900</v>
      </c>
      <c r="H97" s="9" t="n">
        <f aca="false">F97-G97</f>
        <v>765800</v>
      </c>
      <c r="I97" s="6" t="n">
        <f aca="false">'Raw Data'!H97</f>
        <v>53</v>
      </c>
      <c r="J97" s="6" t="n">
        <f aca="false">'Raw Data'!I97</f>
        <v>17</v>
      </c>
      <c r="K97" s="8" t="n">
        <f aca="false">IF(I97=0,0,D97/I97)</f>
        <v>1.32075471698113</v>
      </c>
      <c r="L97" s="8" t="n">
        <f aca="false">IF(E97=0,999,I97/E97)</f>
        <v>4.54285714285714</v>
      </c>
      <c r="M97" s="6" t="str">
        <f aca="false">IF(D97=0,"Dead Stock",IF(I97&lt;=J97,"Reorder Needed",IF(L97&gt;6,"Overstocked","Healthy")))</f>
        <v>Healthy</v>
      </c>
      <c r="N97" s="10" t="n">
        <f aca="false">F97/SUM($F$2:$F$151)</f>
        <v>0.0103307403290925</v>
      </c>
      <c r="O97" s="10" t="n">
        <f aca="false">SUMPRODUCT(($F$2:$F$151&gt;=F97)*$F$2:$F$151)/SUM($F$2:$F$151)</f>
        <v>0.544153704920632</v>
      </c>
      <c r="P97" s="6" t="str">
        <f aca="false">IF(O97&lt;=0.8,"A",IF(O97&lt;=0.95,"B","C"))</f>
        <v>A</v>
      </c>
      <c r="Q97" s="6" t="str">
        <f aca="false">IF(D97=0,"Yes","No")</f>
        <v>No</v>
      </c>
    </row>
    <row r="98" customFormat="false" ht="15" hidden="false" customHeight="true" outlineLevel="0" collapsed="false">
      <c r="A98" s="3" t="str">
        <f aca="false">'Raw Data'!A98</f>
        <v>SKU-1141</v>
      </c>
      <c r="B98" s="3" t="str">
        <f aca="false">'Raw Data'!B98</f>
        <v>Coastline Throw Pillow H6</v>
      </c>
      <c r="C98" s="3" t="str">
        <f aca="false">'Raw Data'!C98</f>
        <v>Home &amp; Living</v>
      </c>
      <c r="D98" s="3" t="n">
        <f aca="false">SUM('Raw Data'!K98:P98)</f>
        <v>23</v>
      </c>
      <c r="E98" s="4" t="n">
        <f aca="false">D98/6</f>
        <v>3.83333333333333</v>
      </c>
      <c r="F98" s="5" t="n">
        <f aca="false">D98*'Raw Data'!G98</f>
        <v>283130</v>
      </c>
      <c r="G98" s="5" t="n">
        <f aca="false">D98*'Raw Data'!F98</f>
        <v>132250</v>
      </c>
      <c r="H98" s="5" t="n">
        <f aca="false">F98-G98</f>
        <v>150880</v>
      </c>
      <c r="I98" s="3" t="n">
        <f aca="false">'Raw Data'!H98</f>
        <v>48</v>
      </c>
      <c r="J98" s="3" t="n">
        <f aca="false">'Raw Data'!I98</f>
        <v>5</v>
      </c>
      <c r="K98" s="4" t="n">
        <f aca="false">IF(I98=0,0,D98/I98)</f>
        <v>0.479166666666667</v>
      </c>
      <c r="L98" s="4" t="n">
        <f aca="false">IF(E98=0,999,I98/E98)</f>
        <v>12.5217391304348</v>
      </c>
      <c r="M98" s="6" t="str">
        <f aca="false">IF(D98=0,"Dead Stock",IF(I98&lt;=J98,"Reorder Needed",IF(L98&gt;6,"Overstocked","Healthy")))</f>
        <v>Overstocked</v>
      </c>
      <c r="N98" s="7" t="n">
        <f aca="false">F98/SUM($F$2:$F$151)</f>
        <v>0.00161269367005346</v>
      </c>
      <c r="O98" s="7" t="n">
        <f aca="false">SUMPRODUCT(($F$2:$F$151&gt;=F98)*$F$2:$F$151)/SUM($F$2:$F$151)</f>
        <v>0.974442225746242</v>
      </c>
      <c r="P98" s="6" t="str">
        <f aca="false">IF(O98&lt;=0.8,"A",IF(O98&lt;=0.95,"B","C"))</f>
        <v>C</v>
      </c>
      <c r="Q98" s="6" t="str">
        <f aca="false">IF(D98=0,"Yes","No")</f>
        <v>No</v>
      </c>
    </row>
    <row r="99" customFormat="false" ht="15" hidden="false" customHeight="true" outlineLevel="0" collapsed="false">
      <c r="A99" s="6" t="str">
        <f aca="false">'Raw Data'!A99</f>
        <v>SKU-1143</v>
      </c>
      <c r="B99" s="6" t="str">
        <f aca="false">'Raw Data'!B99</f>
        <v>Primecraft Throw Pillow A8</v>
      </c>
      <c r="C99" s="6" t="str">
        <f aca="false">'Raw Data'!C99</f>
        <v>Home &amp; Living</v>
      </c>
      <c r="D99" s="6" t="n">
        <f aca="false">SUM('Raw Data'!K99:P99)</f>
        <v>90</v>
      </c>
      <c r="E99" s="8" t="n">
        <f aca="false">D99/6</f>
        <v>15</v>
      </c>
      <c r="F99" s="9" t="n">
        <f aca="false">D99*'Raw Data'!G99</f>
        <v>1649700</v>
      </c>
      <c r="G99" s="9" t="n">
        <f aca="false">D99*'Raw Data'!F99</f>
        <v>927900</v>
      </c>
      <c r="H99" s="9" t="n">
        <f aca="false">F99-G99</f>
        <v>721800</v>
      </c>
      <c r="I99" s="6" t="n">
        <f aca="false">'Raw Data'!H99</f>
        <v>90</v>
      </c>
      <c r="J99" s="6" t="n">
        <f aca="false">'Raw Data'!I99</f>
        <v>22</v>
      </c>
      <c r="K99" s="8" t="n">
        <f aca="false">IF(I99=0,0,D99/I99)</f>
        <v>1</v>
      </c>
      <c r="L99" s="8" t="n">
        <f aca="false">IF(E99=0,999,I99/E99)</f>
        <v>6</v>
      </c>
      <c r="M99" s="6" t="str">
        <f aca="false">IF(D99=0,"Dead Stock",IF(I99&lt;=J99,"Reorder Needed",IF(L99&gt;6,"Overstocked","Healthy")))</f>
        <v>Healthy</v>
      </c>
      <c r="N99" s="10" t="n">
        <f aca="false">F99/SUM($F$2:$F$151)</f>
        <v>0.00939660490759436</v>
      </c>
      <c r="O99" s="10" t="n">
        <f aca="false">SUMPRODUCT(($F$2:$F$151&gt;=F99)*$F$2:$F$151)/SUM($F$2:$F$151)</f>
        <v>0.593133159124672</v>
      </c>
      <c r="P99" s="6" t="str">
        <f aca="false">IF(O99&lt;=0.8,"A",IF(O99&lt;=0.95,"B","C"))</f>
        <v>A</v>
      </c>
      <c r="Q99" s="6" t="str">
        <f aca="false">IF(D99=0,"Yes","No")</f>
        <v>No</v>
      </c>
    </row>
    <row r="100" customFormat="false" ht="15" hidden="false" customHeight="true" outlineLevel="0" collapsed="false">
      <c r="A100" s="3" t="str">
        <f aca="false">'Raw Data'!A100</f>
        <v>SKU-1145</v>
      </c>
      <c r="B100" s="3" t="str">
        <f aca="false">'Raw Data'!B100</f>
        <v>Urbanix Scented Candle G1</v>
      </c>
      <c r="C100" s="3" t="str">
        <f aca="false">'Raw Data'!C100</f>
        <v>Home &amp; Living</v>
      </c>
      <c r="D100" s="3" t="n">
        <f aca="false">SUM('Raw Data'!K100:P100)</f>
        <v>17</v>
      </c>
      <c r="E100" s="4" t="n">
        <f aca="false">D100/6</f>
        <v>2.83333333333333</v>
      </c>
      <c r="F100" s="5" t="n">
        <f aca="false">D100*'Raw Data'!G100</f>
        <v>299200</v>
      </c>
      <c r="G100" s="5" t="n">
        <f aca="false">D100*'Raw Data'!F100</f>
        <v>203830</v>
      </c>
      <c r="H100" s="5" t="n">
        <f aca="false">F100-G100</f>
        <v>95370</v>
      </c>
      <c r="I100" s="3" t="n">
        <f aca="false">'Raw Data'!H100</f>
        <v>72</v>
      </c>
      <c r="J100" s="3" t="n">
        <f aca="false">'Raw Data'!I100</f>
        <v>5</v>
      </c>
      <c r="K100" s="4" t="n">
        <f aca="false">IF(I100=0,0,D100/I100)</f>
        <v>0.236111111111111</v>
      </c>
      <c r="L100" s="4" t="n">
        <f aca="false">IF(E100=0,999,I100/E100)</f>
        <v>25.4117647058824</v>
      </c>
      <c r="M100" s="6" t="str">
        <f aca="false">IF(D100=0,"Dead Stock",IF(I100&lt;=J100,"Reorder Needed",IF(L100&gt;6,"Overstocked","Healthy")))</f>
        <v>Overstocked</v>
      </c>
      <c r="N100" s="7" t="n">
        <f aca="false">F100/SUM($F$2:$F$151)</f>
        <v>0.00170422754946489</v>
      </c>
      <c r="O100" s="7" t="n">
        <f aca="false">SUMPRODUCT(($F$2:$F$151&gt;=F100)*$F$2:$F$151)/SUM($F$2:$F$151)</f>
        <v>0.971141367099215</v>
      </c>
      <c r="P100" s="6" t="str">
        <f aca="false">IF(O100&lt;=0.8,"A",IF(O100&lt;=0.95,"B","C"))</f>
        <v>C</v>
      </c>
      <c r="Q100" s="6" t="str">
        <f aca="false">IF(D100=0,"Yes","No")</f>
        <v>No</v>
      </c>
    </row>
    <row r="101" customFormat="false" ht="15" hidden="false" customHeight="true" outlineLevel="0" collapsed="false">
      <c r="A101" s="6" t="str">
        <f aca="false">'Raw Data'!A101</f>
        <v>SKU-1146</v>
      </c>
      <c r="B101" s="6" t="str">
        <f aca="false">'Raw Data'!B101</f>
        <v>Bravo Scented Candle I2</v>
      </c>
      <c r="C101" s="6" t="str">
        <f aca="false">'Raw Data'!C101</f>
        <v>Home &amp; Living</v>
      </c>
      <c r="D101" s="6" t="n">
        <f aca="false">SUM('Raw Data'!K101:P101)</f>
        <v>20</v>
      </c>
      <c r="E101" s="8" t="n">
        <f aca="false">D101/6</f>
        <v>3.33333333333333</v>
      </c>
      <c r="F101" s="9" t="n">
        <f aca="false">D101*'Raw Data'!G101</f>
        <v>335000</v>
      </c>
      <c r="G101" s="9" t="n">
        <f aca="false">D101*'Raw Data'!F101</f>
        <v>156200</v>
      </c>
      <c r="H101" s="9" t="n">
        <f aca="false">F101-G101</f>
        <v>178800</v>
      </c>
      <c r="I101" s="6" t="n">
        <f aca="false">'Raw Data'!H101</f>
        <v>53</v>
      </c>
      <c r="J101" s="6" t="n">
        <f aca="false">'Raw Data'!I101</f>
        <v>5</v>
      </c>
      <c r="K101" s="8" t="n">
        <f aca="false">IF(I101=0,0,D101/I101)</f>
        <v>0.377358490566038</v>
      </c>
      <c r="L101" s="8" t="n">
        <f aca="false">IF(E101=0,999,I101/E101)</f>
        <v>15.9</v>
      </c>
      <c r="M101" s="6" t="str">
        <f aca="false">IF(D101=0,"Dead Stock",IF(I101&lt;=J101,"Reorder Needed",IF(L101&gt;6,"Overstocked","Healthy")))</f>
        <v>Overstocked</v>
      </c>
      <c r="N101" s="10" t="n">
        <f aca="false">F101/SUM($F$2:$F$151)</f>
        <v>0.0019081424768407</v>
      </c>
      <c r="O101" s="10" t="n">
        <f aca="false">SUMPRODUCT(($F$2:$F$151&gt;=F101)*$F$2:$F$151)/SUM($F$2:$F$151)</f>
        <v>0.958758092019288</v>
      </c>
      <c r="P101" s="6" t="str">
        <f aca="false">IF(O101&lt;=0.8,"A",IF(O101&lt;=0.95,"B","C"))</f>
        <v>C</v>
      </c>
      <c r="Q101" s="6" t="str">
        <f aca="false">IF(D101=0,"Yes","No")</f>
        <v>No</v>
      </c>
    </row>
    <row r="102" customFormat="false" ht="15" hidden="false" customHeight="true" outlineLevel="0" collapsed="false">
      <c r="A102" s="3" t="str">
        <f aca="false">'Raw Data'!A102</f>
        <v>SKU-1147</v>
      </c>
      <c r="B102" s="3" t="str">
        <f aca="false">'Raw Data'!B102</f>
        <v>Zenith Scented Candle J3</v>
      </c>
      <c r="C102" s="3" t="str">
        <f aca="false">'Raw Data'!C102</f>
        <v>Home &amp; Living</v>
      </c>
      <c r="D102" s="3" t="n">
        <f aca="false">SUM('Raw Data'!K102:P102)</f>
        <v>77</v>
      </c>
      <c r="E102" s="4" t="n">
        <f aca="false">D102/6</f>
        <v>12.8333333333333</v>
      </c>
      <c r="F102" s="5" t="n">
        <f aca="false">D102*'Raw Data'!G102</f>
        <v>1178100</v>
      </c>
      <c r="G102" s="5" t="n">
        <f aca="false">D102*'Raw Data'!F102</f>
        <v>799260</v>
      </c>
      <c r="H102" s="5" t="n">
        <f aca="false">F102-G102</f>
        <v>378840</v>
      </c>
      <c r="I102" s="3" t="n">
        <f aca="false">'Raw Data'!H102</f>
        <v>37</v>
      </c>
      <c r="J102" s="3" t="n">
        <f aca="false">'Raw Data'!I102</f>
        <v>19</v>
      </c>
      <c r="K102" s="4" t="n">
        <f aca="false">IF(I102=0,0,D102/I102)</f>
        <v>2.08108108108108</v>
      </c>
      <c r="L102" s="4" t="n">
        <f aca="false">IF(E102=0,999,I102/E102)</f>
        <v>2.88311688311688</v>
      </c>
      <c r="M102" s="6" t="str">
        <f aca="false">IF(D102=0,"Dead Stock",IF(I102&lt;=J102,"Reorder Needed",IF(L102&gt;6,"Overstocked","Healthy")))</f>
        <v>Healthy</v>
      </c>
      <c r="N102" s="7" t="n">
        <f aca="false">F102/SUM($F$2:$F$151)</f>
        <v>0.00671039597601801</v>
      </c>
      <c r="O102" s="7" t="n">
        <f aca="false">SUMPRODUCT(($F$2:$F$151&gt;=F102)*$F$2:$F$151)/SUM($F$2:$F$151)</f>
        <v>0.781251970441905</v>
      </c>
      <c r="P102" s="6" t="str">
        <f aca="false">IF(O102&lt;=0.8,"A",IF(O102&lt;=0.95,"B","C"))</f>
        <v>A</v>
      </c>
      <c r="Q102" s="6" t="str">
        <f aca="false">IF(D102=0,"Yes","No")</f>
        <v>No</v>
      </c>
    </row>
    <row r="103" customFormat="false" ht="15" hidden="false" customHeight="true" outlineLevel="0" collapsed="false">
      <c r="A103" s="6" t="str">
        <f aca="false">'Raw Data'!A103</f>
        <v>SKU-1149</v>
      </c>
      <c r="B103" s="6" t="str">
        <f aca="false">'Raw Data'!B103</f>
        <v>Zenith Scented Candle C5</v>
      </c>
      <c r="C103" s="6" t="str">
        <f aca="false">'Raw Data'!C103</f>
        <v>Home &amp; Living</v>
      </c>
      <c r="D103" s="6" t="n">
        <f aca="false">SUM('Raw Data'!K103:P103)</f>
        <v>27</v>
      </c>
      <c r="E103" s="8" t="n">
        <f aca="false">D103/6</f>
        <v>4.5</v>
      </c>
      <c r="F103" s="9" t="n">
        <f aca="false">D103*'Raw Data'!G103</f>
        <v>310230</v>
      </c>
      <c r="G103" s="9" t="n">
        <f aca="false">D103*'Raw Data'!F103</f>
        <v>177120</v>
      </c>
      <c r="H103" s="9" t="n">
        <f aca="false">F103-G103</f>
        <v>133110</v>
      </c>
      <c r="I103" s="6" t="n">
        <f aca="false">'Raw Data'!H103</f>
        <v>58</v>
      </c>
      <c r="J103" s="6" t="n">
        <f aca="false">'Raw Data'!I103</f>
        <v>6</v>
      </c>
      <c r="K103" s="8" t="n">
        <f aca="false">IF(I103=0,0,D103/I103)</f>
        <v>0.46551724137931</v>
      </c>
      <c r="L103" s="8" t="n">
        <f aca="false">IF(E103=0,999,I103/E103)</f>
        <v>12.8888888888889</v>
      </c>
      <c r="M103" s="6" t="str">
        <f aca="false">IF(D103=0,"Dead Stock",IF(I103&lt;=J103,"Reorder Needed",IF(L103&gt;6,"Overstocked","Healthy")))</f>
        <v>Overstocked</v>
      </c>
      <c r="N103" s="10" t="n">
        <f aca="false">F103/SUM($F$2:$F$151)</f>
        <v>0.00176705385250833</v>
      </c>
      <c r="O103" s="10" t="n">
        <f aca="false">SUMPRODUCT(($F$2:$F$151&gt;=F103)*$F$2:$F$151)/SUM($F$2:$F$151)</f>
        <v>0.966001343901899</v>
      </c>
      <c r="P103" s="6" t="str">
        <f aca="false">IF(O103&lt;=0.8,"A",IF(O103&lt;=0.95,"B","C"))</f>
        <v>C</v>
      </c>
      <c r="Q103" s="6" t="str">
        <f aca="false">IF(D103=0,"Yes","No")</f>
        <v>No</v>
      </c>
    </row>
    <row r="104" customFormat="false" ht="15" hidden="false" customHeight="true" outlineLevel="0" collapsed="false">
      <c r="A104" s="3" t="str">
        <f aca="false">'Raw Data'!A104</f>
        <v>SKU-1150</v>
      </c>
      <c r="B104" s="3" t="str">
        <f aca="false">'Raw Data'!B104</f>
        <v>Nova Scented Candle H6</v>
      </c>
      <c r="C104" s="3" t="str">
        <f aca="false">'Raw Data'!C104</f>
        <v>Home &amp; Living</v>
      </c>
      <c r="D104" s="3" t="n">
        <f aca="false">SUM('Raw Data'!K104:P104)</f>
        <v>75</v>
      </c>
      <c r="E104" s="4" t="n">
        <f aca="false">D104/6</f>
        <v>12.5</v>
      </c>
      <c r="F104" s="5" t="n">
        <f aca="false">D104*'Raw Data'!G104</f>
        <v>1580250</v>
      </c>
      <c r="G104" s="5" t="n">
        <f aca="false">D104*'Raw Data'!F104</f>
        <v>856500</v>
      </c>
      <c r="H104" s="5" t="n">
        <f aca="false">F104-G104</f>
        <v>723750</v>
      </c>
      <c r="I104" s="3" t="n">
        <f aca="false">'Raw Data'!H104</f>
        <v>96</v>
      </c>
      <c r="J104" s="3" t="n">
        <f aca="false">'Raw Data'!I104</f>
        <v>18</v>
      </c>
      <c r="K104" s="4" t="n">
        <f aca="false">IF(I104=0,0,D104/I104)</f>
        <v>0.78125</v>
      </c>
      <c r="L104" s="4" t="n">
        <f aca="false">IF(E104=0,999,I104/E104)</f>
        <v>7.68</v>
      </c>
      <c r="M104" s="6" t="str">
        <f aca="false">IF(D104=0,"Dead Stock",IF(I104&lt;=J104,"Reorder Needed",IF(L104&gt;6,"Overstocked","Healthy")))</f>
        <v>Overstocked</v>
      </c>
      <c r="N104" s="7" t="n">
        <f aca="false">F104/SUM($F$2:$F$151)</f>
        <v>0.00900102134038066</v>
      </c>
      <c r="O104" s="7" t="n">
        <f aca="false">SUMPRODUCT(($F$2:$F$151&gt;=F104)*$F$2:$F$151)/SUM($F$2:$F$151)</f>
        <v>0.629828675576534</v>
      </c>
      <c r="P104" s="6" t="str">
        <f aca="false">IF(O104&lt;=0.8,"A",IF(O104&lt;=0.95,"B","C"))</f>
        <v>A</v>
      </c>
      <c r="Q104" s="6" t="str">
        <f aca="false">IF(D104=0,"Yes","No")</f>
        <v>No</v>
      </c>
    </row>
    <row r="105" customFormat="false" ht="15" hidden="false" customHeight="true" outlineLevel="0" collapsed="false">
      <c r="A105" s="6" t="str">
        <f aca="false">'Raw Data'!A105</f>
        <v>SKU-1153</v>
      </c>
      <c r="B105" s="6" t="str">
        <f aca="false">'Raw Data'!B105</f>
        <v>Urbanix Wall Clock D1</v>
      </c>
      <c r="C105" s="6" t="str">
        <f aca="false">'Raw Data'!C105</f>
        <v>Home &amp; Living</v>
      </c>
      <c r="D105" s="6" t="n">
        <f aca="false">SUM('Raw Data'!K105:P105)</f>
        <v>110</v>
      </c>
      <c r="E105" s="8" t="n">
        <f aca="false">D105/6</f>
        <v>18.3333333333333</v>
      </c>
      <c r="F105" s="9" t="n">
        <f aca="false">D105*'Raw Data'!G105</f>
        <v>1328800</v>
      </c>
      <c r="G105" s="9" t="n">
        <f aca="false">D105*'Raw Data'!F105</f>
        <v>991100</v>
      </c>
      <c r="H105" s="9" t="n">
        <f aca="false">F105-G105</f>
        <v>337700</v>
      </c>
      <c r="I105" s="6" t="n">
        <f aca="false">'Raw Data'!H105</f>
        <v>72</v>
      </c>
      <c r="J105" s="6" t="n">
        <f aca="false">'Raw Data'!I105</f>
        <v>27</v>
      </c>
      <c r="K105" s="8" t="n">
        <f aca="false">IF(I105=0,0,D105/I105)</f>
        <v>1.52777777777778</v>
      </c>
      <c r="L105" s="8" t="n">
        <f aca="false">IF(E105=0,999,I105/E105)</f>
        <v>3.92727272727273</v>
      </c>
      <c r="M105" s="6" t="str">
        <f aca="false">IF(D105=0,"Dead Stock",IF(I105&lt;=J105,"Reorder Needed",IF(L105&gt;6,"Overstocked","Healthy")))</f>
        <v>Healthy</v>
      </c>
      <c r="N105" s="10" t="n">
        <f aca="false">F105/SUM($F$2:$F$151)</f>
        <v>0.00756877529321172</v>
      </c>
      <c r="O105" s="10" t="n">
        <f aca="false">SUMPRODUCT(($F$2:$F$151&gt;=F105)*$F$2:$F$151)/SUM($F$2:$F$151)</f>
        <v>0.710827159258299</v>
      </c>
      <c r="P105" s="6" t="str">
        <f aca="false">IF(O105&lt;=0.8,"A",IF(O105&lt;=0.95,"B","C"))</f>
        <v>A</v>
      </c>
      <c r="Q105" s="6" t="str">
        <f aca="false">IF(D105=0,"Yes","No")</f>
        <v>No</v>
      </c>
    </row>
    <row r="106" customFormat="false" ht="15" hidden="false" customHeight="true" outlineLevel="0" collapsed="false">
      <c r="A106" s="3" t="str">
        <f aca="false">'Raw Data'!A106</f>
        <v>SKU-1154</v>
      </c>
      <c r="B106" s="3" t="str">
        <f aca="false">'Raw Data'!B106</f>
        <v>Drift Wall Clock F2</v>
      </c>
      <c r="C106" s="3" t="str">
        <f aca="false">'Raw Data'!C106</f>
        <v>Home &amp; Living</v>
      </c>
      <c r="D106" s="3" t="n">
        <f aca="false">SUM('Raw Data'!K106:P106)</f>
        <v>14</v>
      </c>
      <c r="E106" s="4" t="n">
        <f aca="false">D106/6</f>
        <v>2.33333333333333</v>
      </c>
      <c r="F106" s="5" t="n">
        <f aca="false">D106*'Raw Data'!G106</f>
        <v>343000</v>
      </c>
      <c r="G106" s="5" t="n">
        <f aca="false">D106*'Raw Data'!F106</f>
        <v>208600</v>
      </c>
      <c r="H106" s="5" t="n">
        <f aca="false">F106-G106</f>
        <v>134400</v>
      </c>
      <c r="I106" s="3" t="n">
        <f aca="false">'Raw Data'!H106</f>
        <v>74</v>
      </c>
      <c r="J106" s="3" t="n">
        <f aca="false">'Raw Data'!I106</f>
        <v>5</v>
      </c>
      <c r="K106" s="4" t="n">
        <f aca="false">IF(I106=0,0,D106/I106)</f>
        <v>0.189189189189189</v>
      </c>
      <c r="L106" s="4" t="n">
        <f aca="false">IF(E106=0,999,I106/E106)</f>
        <v>31.7142857142857</v>
      </c>
      <c r="M106" s="6" t="str">
        <f aca="false">IF(D106=0,"Dead Stock",IF(I106&lt;=J106,"Reorder Needed",IF(L106&gt;6,"Overstocked","Healthy")))</f>
        <v>Overstocked</v>
      </c>
      <c r="N106" s="7" t="n">
        <f aca="false">F106/SUM($F$2:$F$151)</f>
        <v>0.0019537100583772</v>
      </c>
      <c r="O106" s="7" t="n">
        <f aca="false">SUMPRODUCT(($F$2:$F$151&gt;=F106)*$F$2:$F$151)/SUM($F$2:$F$151)</f>
        <v>0.954903188540255</v>
      </c>
      <c r="P106" s="6" t="str">
        <f aca="false">IF(O106&lt;=0.8,"A",IF(O106&lt;=0.95,"B","C"))</f>
        <v>C</v>
      </c>
      <c r="Q106" s="6" t="str">
        <f aca="false">IF(D106=0,"Yes","No")</f>
        <v>No</v>
      </c>
    </row>
    <row r="107" customFormat="false" ht="15" hidden="false" customHeight="true" outlineLevel="0" collapsed="false">
      <c r="A107" s="6" t="str">
        <f aca="false">'Raw Data'!A107</f>
        <v>SKU-1156</v>
      </c>
      <c r="B107" s="6" t="str">
        <f aca="false">'Raw Data'!B107</f>
        <v>Coastline Wall Clock C4</v>
      </c>
      <c r="C107" s="6" t="str">
        <f aca="false">'Raw Data'!C107</f>
        <v>Home &amp; Living</v>
      </c>
      <c r="D107" s="6" t="n">
        <f aca="false">SUM('Raw Data'!K107:P107)</f>
        <v>25</v>
      </c>
      <c r="E107" s="8" t="n">
        <f aca="false">D107/6</f>
        <v>4.16666666666667</v>
      </c>
      <c r="F107" s="9" t="n">
        <f aca="false">D107*'Raw Data'!G107</f>
        <v>252500</v>
      </c>
      <c r="G107" s="9" t="n">
        <f aca="false">D107*'Raw Data'!F107</f>
        <v>117750</v>
      </c>
      <c r="H107" s="9" t="n">
        <f aca="false">F107-G107</f>
        <v>134750</v>
      </c>
      <c r="I107" s="6" t="n">
        <f aca="false">'Raw Data'!H107</f>
        <v>56</v>
      </c>
      <c r="J107" s="6" t="n">
        <f aca="false">'Raw Data'!I107</f>
        <v>6</v>
      </c>
      <c r="K107" s="8" t="n">
        <f aca="false">IF(I107=0,0,D107/I107)</f>
        <v>0.446428571428571</v>
      </c>
      <c r="L107" s="8" t="n">
        <f aca="false">IF(E107=0,999,I107/E107)</f>
        <v>13.44</v>
      </c>
      <c r="M107" s="6" t="str">
        <f aca="false">IF(D107=0,"Dead Stock",IF(I107&lt;=J107,"Reorder Needed",IF(L107&gt;6,"Overstocked","Healthy")))</f>
        <v>Overstocked</v>
      </c>
      <c r="N107" s="10" t="n">
        <f aca="false">F107/SUM($F$2:$F$151)</f>
        <v>0.00143822679224561</v>
      </c>
      <c r="O107" s="10" t="n">
        <f aca="false">SUMPRODUCT(($F$2:$F$151&gt;=F107)*$F$2:$F$151)/SUM($F$2:$F$151)</f>
        <v>0.981887854650351</v>
      </c>
      <c r="P107" s="6" t="str">
        <f aca="false">IF(O107&lt;=0.8,"A",IF(O107&lt;=0.95,"B","C"))</f>
        <v>C</v>
      </c>
      <c r="Q107" s="6" t="str">
        <f aca="false">IF(D107=0,"Yes","No")</f>
        <v>No</v>
      </c>
    </row>
    <row r="108" customFormat="false" ht="15" hidden="false" customHeight="true" outlineLevel="0" collapsed="false">
      <c r="A108" s="3" t="str">
        <f aca="false">'Raw Data'!A108</f>
        <v>SKU-1157</v>
      </c>
      <c r="B108" s="3" t="str">
        <f aca="false">'Raw Data'!B108</f>
        <v>Tide Wall Clock A5</v>
      </c>
      <c r="C108" s="3" t="str">
        <f aca="false">'Raw Data'!C108</f>
        <v>Home &amp; Living</v>
      </c>
      <c r="D108" s="3" t="n">
        <f aca="false">SUM('Raw Data'!K108:P108)</f>
        <v>17</v>
      </c>
      <c r="E108" s="4" t="n">
        <f aca="false">D108/6</f>
        <v>2.83333333333333</v>
      </c>
      <c r="F108" s="5" t="n">
        <f aca="false">D108*'Raw Data'!G108</f>
        <v>231200</v>
      </c>
      <c r="G108" s="5" t="n">
        <f aca="false">D108*'Raw Data'!F108</f>
        <v>121380</v>
      </c>
      <c r="H108" s="5" t="n">
        <f aca="false">F108-G108</f>
        <v>109820</v>
      </c>
      <c r="I108" s="3" t="n">
        <f aca="false">'Raw Data'!H108</f>
        <v>47</v>
      </c>
      <c r="J108" s="3" t="n">
        <f aca="false">'Raw Data'!I108</f>
        <v>5</v>
      </c>
      <c r="K108" s="4" t="n">
        <f aca="false">IF(I108=0,0,D108/I108)</f>
        <v>0.361702127659575</v>
      </c>
      <c r="L108" s="4" t="n">
        <f aca="false">IF(E108=0,999,I108/E108)</f>
        <v>16.5882352941176</v>
      </c>
      <c r="M108" s="6" t="str">
        <f aca="false">IF(D108=0,"Dead Stock",IF(I108&lt;=J108,"Reorder Needed",IF(L108&gt;6,"Overstocked","Healthy")))</f>
        <v>Overstocked</v>
      </c>
      <c r="N108" s="7" t="n">
        <f aca="false">F108/SUM($F$2:$F$151)</f>
        <v>0.00131690310640469</v>
      </c>
      <c r="O108" s="7" t="n">
        <f aca="false">SUMPRODUCT(($F$2:$F$151&gt;=F108)*$F$2:$F$151)/SUM($F$2:$F$151)</f>
        <v>0.985959887655406</v>
      </c>
      <c r="P108" s="6" t="str">
        <f aca="false">IF(O108&lt;=0.8,"A",IF(O108&lt;=0.95,"B","C"))</f>
        <v>C</v>
      </c>
      <c r="Q108" s="6" t="str">
        <f aca="false">IF(D108=0,"Yes","No")</f>
        <v>No</v>
      </c>
    </row>
    <row r="109" customFormat="false" ht="15" hidden="false" customHeight="true" outlineLevel="0" collapsed="false">
      <c r="A109" s="6" t="str">
        <f aca="false">'Raw Data'!A109</f>
        <v>SKU-1158</v>
      </c>
      <c r="B109" s="6" t="str">
        <f aca="false">'Raw Data'!B109</f>
        <v>Primecraft Wall Clock J6</v>
      </c>
      <c r="C109" s="6" t="str">
        <f aca="false">'Raw Data'!C109</f>
        <v>Home &amp; Living</v>
      </c>
      <c r="D109" s="6" t="n">
        <f aca="false">SUM('Raw Data'!K109:P109)</f>
        <v>28</v>
      </c>
      <c r="E109" s="8" t="n">
        <f aca="false">D109/6</f>
        <v>4.66666666666667</v>
      </c>
      <c r="F109" s="9" t="n">
        <f aca="false">D109*'Raw Data'!G109</f>
        <v>274400</v>
      </c>
      <c r="G109" s="9" t="n">
        <f aca="false">D109*'Raw Data'!F109</f>
        <v>149240</v>
      </c>
      <c r="H109" s="9" t="n">
        <f aca="false">F109-G109</f>
        <v>125160</v>
      </c>
      <c r="I109" s="6" t="n">
        <f aca="false">'Raw Data'!H109</f>
        <v>37</v>
      </c>
      <c r="J109" s="6" t="n">
        <f aca="false">'Raw Data'!I109</f>
        <v>7</v>
      </c>
      <c r="K109" s="8" t="n">
        <f aca="false">IF(I109=0,0,D109/I109)</f>
        <v>0.756756756756757</v>
      </c>
      <c r="L109" s="8" t="n">
        <f aca="false">IF(E109=0,999,I109/E109)</f>
        <v>7.92857142857143</v>
      </c>
      <c r="M109" s="6" t="str">
        <f aca="false">IF(D109=0,"Dead Stock",IF(I109&lt;=J109,"Reorder Needed",IF(L109&gt;6,"Overstocked","Healthy")))</f>
        <v>Overstocked</v>
      </c>
      <c r="N109" s="10" t="n">
        <f aca="false">F109/SUM($F$2:$F$151)</f>
        <v>0.00156296804670176</v>
      </c>
      <c r="O109" s="10" t="n">
        <f aca="false">SUMPRODUCT(($F$2:$F$151&gt;=F109)*$F$2:$F$151)/SUM($F$2:$F$151)</f>
        <v>0.976005193792944</v>
      </c>
      <c r="P109" s="6" t="str">
        <f aca="false">IF(O109&lt;=0.8,"A",IF(O109&lt;=0.95,"B","C"))</f>
        <v>C</v>
      </c>
      <c r="Q109" s="6" t="str">
        <f aca="false">IF(D109=0,"Yes","No")</f>
        <v>No</v>
      </c>
    </row>
    <row r="110" customFormat="false" ht="15" hidden="false" customHeight="true" outlineLevel="0" collapsed="false">
      <c r="A110" s="3" t="str">
        <f aca="false">'Raw Data'!A110</f>
        <v>SKU-1160</v>
      </c>
      <c r="B110" s="3" t="str">
        <f aca="false">'Raw Data'!B110</f>
        <v>Primecraft Wall Clock D8</v>
      </c>
      <c r="C110" s="3" t="str">
        <f aca="false">'Raw Data'!C110</f>
        <v>Home &amp; Living</v>
      </c>
      <c r="D110" s="3" t="n">
        <f aca="false">SUM('Raw Data'!K110:P110)</f>
        <v>26</v>
      </c>
      <c r="E110" s="4" t="n">
        <f aca="false">D110/6</f>
        <v>4.33333333333333</v>
      </c>
      <c r="F110" s="5" t="n">
        <f aca="false">D110*'Raw Data'!G110</f>
        <v>255320</v>
      </c>
      <c r="G110" s="5" t="n">
        <f aca="false">D110*'Raw Data'!F110</f>
        <v>131820</v>
      </c>
      <c r="H110" s="5" t="n">
        <f aca="false">F110-G110</f>
        <v>123500</v>
      </c>
      <c r="I110" s="3" t="n">
        <f aca="false">'Raw Data'!H110</f>
        <v>56</v>
      </c>
      <c r="J110" s="3" t="n">
        <f aca="false">'Raw Data'!I110</f>
        <v>6</v>
      </c>
      <c r="K110" s="4" t="n">
        <f aca="false">IF(I110=0,0,D110/I110)</f>
        <v>0.464285714285714</v>
      </c>
      <c r="L110" s="4" t="n">
        <f aca="false">IF(E110=0,999,I110/E110)</f>
        <v>12.9230769230769</v>
      </c>
      <c r="M110" s="6" t="str">
        <f aca="false">IF(D110=0,"Dead Stock",IF(I110&lt;=J110,"Reorder Needed",IF(L110&gt;6,"Overstocked","Healthy")))</f>
        <v>Overstocked</v>
      </c>
      <c r="N110" s="7" t="n">
        <f aca="false">F110/SUM($F$2:$F$151)</f>
        <v>0.00145428936473722</v>
      </c>
      <c r="O110" s="7" t="n">
        <f aca="false">SUMPRODUCT(($F$2:$F$151&gt;=F110)*$F$2:$F$151)/SUM($F$2:$F$151)</f>
        <v>0.980449627858106</v>
      </c>
      <c r="P110" s="6" t="str">
        <f aca="false">IF(O110&lt;=0.8,"A",IF(O110&lt;=0.95,"B","C"))</f>
        <v>C</v>
      </c>
      <c r="Q110" s="6" t="str">
        <f aca="false">IF(D110=0,"Yes","No")</f>
        <v>No</v>
      </c>
    </row>
    <row r="111" customFormat="false" ht="15" hidden="false" customHeight="true" outlineLevel="0" collapsed="false">
      <c r="A111" s="6" t="str">
        <f aca="false">'Raw Data'!A111</f>
        <v>SKU-1162</v>
      </c>
      <c r="B111" s="6" t="str">
        <f aca="false">'Raw Data'!B111</f>
        <v>Primecraft Table Lamp F1</v>
      </c>
      <c r="C111" s="6" t="str">
        <f aca="false">'Raw Data'!C111</f>
        <v>Home &amp; Living</v>
      </c>
      <c r="D111" s="6" t="n">
        <f aca="false">SUM('Raw Data'!K111:P111)</f>
        <v>92</v>
      </c>
      <c r="E111" s="8" t="n">
        <f aca="false">D111/6</f>
        <v>15.3333333333333</v>
      </c>
      <c r="F111" s="9" t="n">
        <f aca="false">D111*'Raw Data'!G111</f>
        <v>995440</v>
      </c>
      <c r="G111" s="9" t="n">
        <f aca="false">D111*'Raw Data'!F111</f>
        <v>470120</v>
      </c>
      <c r="H111" s="9" t="n">
        <f aca="false">F111-G111</f>
        <v>525320</v>
      </c>
      <c r="I111" s="6" t="n">
        <f aca="false">'Raw Data'!H111</f>
        <v>46</v>
      </c>
      <c r="J111" s="6" t="n">
        <f aca="false">'Raw Data'!I111</f>
        <v>23</v>
      </c>
      <c r="K111" s="8" t="n">
        <f aca="false">IF(I111=0,0,D111/I111)</f>
        <v>2</v>
      </c>
      <c r="L111" s="8" t="n">
        <f aca="false">IF(E111=0,999,I111/E111)</f>
        <v>3</v>
      </c>
      <c r="M111" s="6" t="str">
        <f aca="false">IF(D111=0,"Dead Stock",IF(I111&lt;=J111,"Reorder Needed",IF(L111&gt;6,"Overstocked","Healthy")))</f>
        <v>Healthy</v>
      </c>
      <c r="N111" s="10" t="n">
        <f aca="false">F111/SUM($F$2:$F$151)</f>
        <v>0.005669974170586</v>
      </c>
      <c r="O111" s="10" t="n">
        <f aca="false">SUMPRODUCT(($F$2:$F$151&gt;=F111)*$F$2:$F$151)/SUM($F$2:$F$151)</f>
        <v>0.836346821926049</v>
      </c>
      <c r="P111" s="6" t="str">
        <f aca="false">IF(O111&lt;=0.8,"A",IF(O111&lt;=0.95,"B","C"))</f>
        <v>B</v>
      </c>
      <c r="Q111" s="6" t="str">
        <f aca="false">IF(D111=0,"Yes","No")</f>
        <v>No</v>
      </c>
    </row>
    <row r="112" customFormat="false" ht="15" hidden="false" customHeight="true" outlineLevel="0" collapsed="false">
      <c r="A112" s="3" t="str">
        <f aca="false">'Raw Data'!A112</f>
        <v>SKU-1163</v>
      </c>
      <c r="B112" s="3" t="str">
        <f aca="false">'Raw Data'!B112</f>
        <v>Bravo Table Lamp F2</v>
      </c>
      <c r="C112" s="3" t="str">
        <f aca="false">'Raw Data'!C112</f>
        <v>Home &amp; Living</v>
      </c>
      <c r="D112" s="3" t="n">
        <f aca="false">SUM('Raw Data'!K112:P112)</f>
        <v>102</v>
      </c>
      <c r="E112" s="4" t="n">
        <f aca="false">D112/6</f>
        <v>17</v>
      </c>
      <c r="F112" s="5" t="n">
        <f aca="false">D112*'Raw Data'!G112</f>
        <v>1978800</v>
      </c>
      <c r="G112" s="5" t="n">
        <f aca="false">D112*'Raw Data'!F112</f>
        <v>1204620</v>
      </c>
      <c r="H112" s="5" t="n">
        <f aca="false">F112-G112</f>
        <v>774180</v>
      </c>
      <c r="I112" s="3" t="n">
        <f aca="false">'Raw Data'!H112</f>
        <v>80</v>
      </c>
      <c r="J112" s="3" t="n">
        <f aca="false">'Raw Data'!I112</f>
        <v>25</v>
      </c>
      <c r="K112" s="4" t="n">
        <f aca="false">IF(I112=0,0,D112/I112)</f>
        <v>1.275</v>
      </c>
      <c r="L112" s="4" t="n">
        <f aca="false">IF(E112=0,999,I112/E112)</f>
        <v>4.70588235294118</v>
      </c>
      <c r="M112" s="6" t="str">
        <f aca="false">IF(D112=0,"Dead Stock",IF(I112&lt;=J112,"Reorder Needed",IF(L112&gt;6,"Overstocked","Healthy")))</f>
        <v>Healthy</v>
      </c>
      <c r="N112" s="7" t="n">
        <f aca="false">F112/SUM($F$2:$F$151)</f>
        <v>0.0112711412930519</v>
      </c>
      <c r="O112" s="7" t="n">
        <f aca="false">SUMPRODUCT(($F$2:$F$151&gt;=F112)*$F$2:$F$151)/SUM($F$2:$F$151)</f>
        <v>0.523130987259817</v>
      </c>
      <c r="P112" s="6" t="str">
        <f aca="false">IF(O112&lt;=0.8,"A",IF(O112&lt;=0.95,"B","C"))</f>
        <v>A</v>
      </c>
      <c r="Q112" s="6" t="str">
        <f aca="false">IF(D112=0,"Yes","No")</f>
        <v>No</v>
      </c>
    </row>
    <row r="113" customFormat="false" ht="15" hidden="false" customHeight="true" outlineLevel="0" collapsed="false">
      <c r="A113" s="6" t="str">
        <f aca="false">'Raw Data'!A113</f>
        <v>SKU-1166</v>
      </c>
      <c r="B113" s="6" t="str">
        <f aca="false">'Raw Data'!B113</f>
        <v>Bravo Table Lamp H5</v>
      </c>
      <c r="C113" s="6" t="str">
        <f aca="false">'Raw Data'!C113</f>
        <v>Home &amp; Living</v>
      </c>
      <c r="D113" s="6" t="n">
        <f aca="false">SUM('Raw Data'!K113:P113)</f>
        <v>0</v>
      </c>
      <c r="E113" s="8" t="n">
        <f aca="false">D113/6</f>
        <v>0</v>
      </c>
      <c r="F113" s="9" t="n">
        <f aca="false">D113*'Raw Data'!G113</f>
        <v>0</v>
      </c>
      <c r="G113" s="9" t="n">
        <f aca="false">D113*'Raw Data'!F113</f>
        <v>0</v>
      </c>
      <c r="H113" s="9" t="n">
        <f aca="false">F113-G113</f>
        <v>0</v>
      </c>
      <c r="I113" s="6" t="n">
        <f aca="false">'Raw Data'!H113</f>
        <v>147</v>
      </c>
      <c r="J113" s="6" t="n">
        <f aca="false">'Raw Data'!I113</f>
        <v>5</v>
      </c>
      <c r="K113" s="8" t="n">
        <f aca="false">IF(I113=0,0,D113/I113)</f>
        <v>0</v>
      </c>
      <c r="L113" s="8" t="n">
        <f aca="false">IF(E113=0,999,I113/E113)</f>
        <v>999</v>
      </c>
      <c r="M113" s="6" t="str">
        <f aca="false">IF(D113=0,"Dead Stock",IF(I113&lt;=J113,"Reorder Needed",IF(L113&gt;6,"Overstocked","Healthy")))</f>
        <v>Dead Stock</v>
      </c>
      <c r="N113" s="10" t="n">
        <f aca="false">F113/SUM($F$2:$F$151)</f>
        <v>0</v>
      </c>
      <c r="O113" s="10" t="n">
        <f aca="false">SUMPRODUCT(($F$2:$F$151&gt;=F113)*$F$2:$F$151)/SUM($F$2:$F$151)</f>
        <v>1</v>
      </c>
      <c r="P113" s="6" t="str">
        <f aca="false">IF(O113&lt;=0.8,"A",IF(O113&lt;=0.95,"B","C"))</f>
        <v>C</v>
      </c>
      <c r="Q113" s="6" t="str">
        <f aca="false">IF(D113=0,"Yes","No")</f>
        <v>Yes</v>
      </c>
    </row>
    <row r="114" customFormat="false" ht="15" hidden="false" customHeight="true" outlineLevel="0" collapsed="false">
      <c r="A114" s="3" t="str">
        <f aca="false">'Raw Data'!A114</f>
        <v>SKU-1168</v>
      </c>
      <c r="B114" s="3" t="str">
        <f aca="false">'Raw Data'!B114</f>
        <v>Urbanix Table Lamp I7</v>
      </c>
      <c r="C114" s="3" t="str">
        <f aca="false">'Raw Data'!C114</f>
        <v>Home &amp; Living</v>
      </c>
      <c r="D114" s="3" t="n">
        <f aca="false">SUM('Raw Data'!K114:P114)</f>
        <v>95</v>
      </c>
      <c r="E114" s="4" t="n">
        <f aca="false">D114/6</f>
        <v>15.8333333333333</v>
      </c>
      <c r="F114" s="5" t="n">
        <f aca="false">D114*'Raw Data'!G114</f>
        <v>1074450</v>
      </c>
      <c r="G114" s="5" t="n">
        <f aca="false">D114*'Raw Data'!F114</f>
        <v>819850</v>
      </c>
      <c r="H114" s="5" t="n">
        <f aca="false">F114-G114</f>
        <v>254600</v>
      </c>
      <c r="I114" s="3" t="n">
        <f aca="false">'Raw Data'!H114</f>
        <v>42</v>
      </c>
      <c r="J114" s="3" t="n">
        <f aca="false">'Raw Data'!I114</f>
        <v>23</v>
      </c>
      <c r="K114" s="4" t="n">
        <f aca="false">IF(I114=0,0,D114/I114)</f>
        <v>2.26190476190476</v>
      </c>
      <c r="L114" s="4" t="n">
        <f aca="false">IF(E114=0,999,I114/E114)</f>
        <v>2.65263157894737</v>
      </c>
      <c r="M114" s="6" t="str">
        <f aca="false">IF(D114=0,"Dead Stock",IF(I114&lt;=J114,"Reorder Needed",IF(L114&gt;6,"Overstocked","Healthy")))</f>
        <v>Healthy</v>
      </c>
      <c r="N114" s="7" t="n">
        <f aca="false">F114/SUM($F$2:$F$151)</f>
        <v>0.0061200109977358</v>
      </c>
      <c r="O114" s="7" t="n">
        <f aca="false">SUMPRODUCT(($F$2:$F$151&gt;=F114)*$F$2:$F$151)/SUM($F$2:$F$151)</f>
        <v>0.818952707742462</v>
      </c>
      <c r="P114" s="6" t="str">
        <f aca="false">IF(O114&lt;=0.8,"A",IF(O114&lt;=0.95,"B","C"))</f>
        <v>B</v>
      </c>
      <c r="Q114" s="6" t="str">
        <f aca="false">IF(D114=0,"Yes","No")</f>
        <v>No</v>
      </c>
    </row>
    <row r="115" customFormat="false" ht="15" hidden="false" customHeight="true" outlineLevel="0" collapsed="false">
      <c r="A115" s="6" t="str">
        <f aca="false">'Raw Data'!A115</f>
        <v>SKU-1169</v>
      </c>
      <c r="B115" s="6" t="str">
        <f aca="false">'Raw Data'!B115</f>
        <v>Bravo Table Lamp C8</v>
      </c>
      <c r="C115" s="6" t="str">
        <f aca="false">'Raw Data'!C115</f>
        <v>Home &amp; Living</v>
      </c>
      <c r="D115" s="6" t="n">
        <f aca="false">SUM('Raw Data'!K115:P115)</f>
        <v>104</v>
      </c>
      <c r="E115" s="8" t="n">
        <f aca="false">D115/6</f>
        <v>17.3333333333333</v>
      </c>
      <c r="F115" s="9" t="n">
        <f aca="false">D115*'Raw Data'!G115</f>
        <v>815360</v>
      </c>
      <c r="G115" s="9" t="n">
        <f aca="false">D115*'Raw Data'!F115</f>
        <v>438880</v>
      </c>
      <c r="H115" s="9" t="n">
        <f aca="false">F115-G115</f>
        <v>376480</v>
      </c>
      <c r="I115" s="6" t="n">
        <f aca="false">'Raw Data'!H115</f>
        <v>48</v>
      </c>
      <c r="J115" s="6" t="n">
        <f aca="false">'Raw Data'!I115</f>
        <v>26</v>
      </c>
      <c r="K115" s="8" t="n">
        <f aca="false">IF(I115=0,0,D115/I115)</f>
        <v>2.16666666666667</v>
      </c>
      <c r="L115" s="8" t="n">
        <f aca="false">IF(E115=0,999,I115/E115)</f>
        <v>2.76923076923077</v>
      </c>
      <c r="M115" s="6" t="str">
        <f aca="false">IF(D115=0,"Dead Stock",IF(I115&lt;=J115,"Reorder Needed",IF(L115&gt;6,"Overstocked","Healthy")))</f>
        <v>Healthy</v>
      </c>
      <c r="N115" s="10" t="n">
        <f aca="false">F115/SUM($F$2:$F$151)</f>
        <v>0.00464424791019951</v>
      </c>
      <c r="O115" s="10" t="n">
        <f aca="false">SUMPRODUCT(($F$2:$F$151&gt;=F115)*$F$2:$F$151)/SUM($F$2:$F$151)</f>
        <v>0.866386794378168</v>
      </c>
      <c r="P115" s="6" t="str">
        <f aca="false">IF(O115&lt;=0.8,"A",IF(O115&lt;=0.95,"B","C"))</f>
        <v>B</v>
      </c>
      <c r="Q115" s="6" t="str">
        <f aca="false">IF(D115=0,"Yes","No")</f>
        <v>No</v>
      </c>
    </row>
    <row r="116" customFormat="false" ht="15" hidden="false" customHeight="true" outlineLevel="0" collapsed="false">
      <c r="A116" s="3" t="str">
        <f aca="false">'Raw Data'!A116</f>
        <v>SKU-1171</v>
      </c>
      <c r="B116" s="3" t="str">
        <f aca="false">'Raw Data'!B116</f>
        <v>Primecraft Storage Box J1</v>
      </c>
      <c r="C116" s="3" t="str">
        <f aca="false">'Raw Data'!C116</f>
        <v>Home &amp; Living</v>
      </c>
      <c r="D116" s="3" t="n">
        <f aca="false">SUM('Raw Data'!K116:P116)</f>
        <v>246</v>
      </c>
      <c r="E116" s="4" t="n">
        <f aca="false">D116/6</f>
        <v>41</v>
      </c>
      <c r="F116" s="5" t="n">
        <f aca="false">D116*'Raw Data'!G116</f>
        <v>2491980</v>
      </c>
      <c r="G116" s="5" t="n">
        <f aca="false">D116*'Raw Data'!F116</f>
        <v>1857300</v>
      </c>
      <c r="H116" s="5" t="n">
        <f aca="false">F116-G116</f>
        <v>634680</v>
      </c>
      <c r="I116" s="3" t="n">
        <f aca="false">'Raw Data'!H116</f>
        <v>23</v>
      </c>
      <c r="J116" s="3" t="n">
        <f aca="false">'Raw Data'!I116</f>
        <v>61</v>
      </c>
      <c r="K116" s="4" t="n">
        <f aca="false">IF(I116=0,0,D116/I116)</f>
        <v>10.695652173913</v>
      </c>
      <c r="L116" s="4" t="n">
        <f aca="false">IF(E116=0,999,I116/E116)</f>
        <v>0.560975609756098</v>
      </c>
      <c r="M116" s="6" t="str">
        <f aca="false">IF(D116=0,"Dead Stock",IF(I116&lt;=J116,"Reorder Needed",IF(L116&gt;6,"Overstocked","Healthy")))</f>
        <v>Reorder Needed</v>
      </c>
      <c r="N116" s="7" t="n">
        <f aca="false">F116/SUM($F$2:$F$151)</f>
        <v>0.0141941877296642</v>
      </c>
      <c r="O116" s="7" t="n">
        <f aca="false">SUMPRODUCT(($F$2:$F$151&gt;=F116)*$F$2:$F$151)/SUM($F$2:$F$151)</f>
        <v>0.426053697635515</v>
      </c>
      <c r="P116" s="6" t="str">
        <f aca="false">IF(O116&lt;=0.8,"A",IF(O116&lt;=0.95,"B","C"))</f>
        <v>A</v>
      </c>
      <c r="Q116" s="6" t="str">
        <f aca="false">IF(D116=0,"Yes","No")</f>
        <v>No</v>
      </c>
    </row>
    <row r="117" customFormat="false" ht="15" hidden="false" customHeight="true" outlineLevel="0" collapsed="false">
      <c r="A117" s="6" t="str">
        <f aca="false">'Raw Data'!A117</f>
        <v>SKU-1172</v>
      </c>
      <c r="B117" s="6" t="str">
        <f aca="false">'Raw Data'!B117</f>
        <v>Drift Storage Box B2</v>
      </c>
      <c r="C117" s="6" t="str">
        <f aca="false">'Raw Data'!C117</f>
        <v>Home &amp; Living</v>
      </c>
      <c r="D117" s="6" t="n">
        <f aca="false">SUM('Raw Data'!K117:P117)</f>
        <v>70</v>
      </c>
      <c r="E117" s="8" t="n">
        <f aca="false">D117/6</f>
        <v>11.6666666666667</v>
      </c>
      <c r="F117" s="9" t="n">
        <f aca="false">D117*'Raw Data'!G117</f>
        <v>639100</v>
      </c>
      <c r="G117" s="9" t="n">
        <f aca="false">D117*'Raw Data'!F117</f>
        <v>353500</v>
      </c>
      <c r="H117" s="9" t="n">
        <f aca="false">F117-G117</f>
        <v>285600</v>
      </c>
      <c r="I117" s="6" t="n">
        <f aca="false">'Raw Data'!H117</f>
        <v>30</v>
      </c>
      <c r="J117" s="6" t="n">
        <f aca="false">'Raw Data'!I117</f>
        <v>17</v>
      </c>
      <c r="K117" s="8" t="n">
        <f aca="false">IF(I117=0,0,D117/I117)</f>
        <v>2.33333333333333</v>
      </c>
      <c r="L117" s="8" t="n">
        <f aca="false">IF(E117=0,999,I117/E117)</f>
        <v>2.57142857142857</v>
      </c>
      <c r="M117" s="6" t="str">
        <f aca="false">IF(D117=0,"Dead Stock",IF(I117&lt;=J117,"Reorder Needed",IF(L117&gt;6,"Overstocked","Healthy")))</f>
        <v>Healthy</v>
      </c>
      <c r="N117" s="10" t="n">
        <f aca="false">F117/SUM($F$2:$F$151)</f>
        <v>0.0036402801699967</v>
      </c>
      <c r="O117" s="10" t="n">
        <f aca="false">SUMPRODUCT(($F$2:$F$151&gt;=F117)*$F$2:$F$151)/SUM($F$2:$F$151)</f>
        <v>0.89457421680292</v>
      </c>
      <c r="P117" s="6" t="str">
        <f aca="false">IF(O117&lt;=0.8,"A",IF(O117&lt;=0.95,"B","C"))</f>
        <v>B</v>
      </c>
      <c r="Q117" s="6" t="str">
        <f aca="false">IF(D117=0,"Yes","No")</f>
        <v>No</v>
      </c>
    </row>
    <row r="118" customFormat="false" ht="15" hidden="false" customHeight="true" outlineLevel="0" collapsed="false">
      <c r="A118" s="3" t="str">
        <f aca="false">'Raw Data'!A118</f>
        <v>SKU-1173</v>
      </c>
      <c r="B118" s="3" t="str">
        <f aca="false">'Raw Data'!B118</f>
        <v>Urbanix Storage Box B3</v>
      </c>
      <c r="C118" s="3" t="str">
        <f aca="false">'Raw Data'!C118</f>
        <v>Home &amp; Living</v>
      </c>
      <c r="D118" s="3" t="n">
        <f aca="false">SUM('Raw Data'!K118:P118)</f>
        <v>79</v>
      </c>
      <c r="E118" s="4" t="n">
        <f aca="false">D118/6</f>
        <v>13.1666666666667</v>
      </c>
      <c r="F118" s="5" t="n">
        <f aca="false">D118*'Raw Data'!G118</f>
        <v>1137600</v>
      </c>
      <c r="G118" s="5" t="n">
        <f aca="false">D118*'Raw Data'!F118</f>
        <v>553790</v>
      </c>
      <c r="H118" s="5" t="n">
        <f aca="false">F118-G118</f>
        <v>583810</v>
      </c>
      <c r="I118" s="3" t="n">
        <f aca="false">'Raw Data'!H118</f>
        <v>77</v>
      </c>
      <c r="J118" s="3" t="n">
        <f aca="false">'Raw Data'!I118</f>
        <v>19</v>
      </c>
      <c r="K118" s="4" t="n">
        <f aca="false">IF(I118=0,0,D118/I118)</f>
        <v>1.02597402597403</v>
      </c>
      <c r="L118" s="4" t="n">
        <f aca="false">IF(E118=0,999,I118/E118)</f>
        <v>5.84810126582279</v>
      </c>
      <c r="M118" s="6" t="str">
        <f aca="false">IF(D118=0,"Dead Stock",IF(I118&lt;=J118,"Reorder Needed",IF(L118&gt;6,"Overstocked","Healthy")))</f>
        <v>Healthy</v>
      </c>
      <c r="N118" s="7" t="n">
        <f aca="false">F118/SUM($F$2:$F$151)</f>
        <v>0.00647971009448951</v>
      </c>
      <c r="O118" s="7" t="n">
        <f aca="false">SUMPRODUCT(($F$2:$F$151&gt;=F118)*$F$2:$F$151)/SUM($F$2:$F$151)</f>
        <v>0.787731680536394</v>
      </c>
      <c r="P118" s="6" t="str">
        <f aca="false">IF(O118&lt;=0.8,"A",IF(O118&lt;=0.95,"B","C"))</f>
        <v>A</v>
      </c>
      <c r="Q118" s="6" t="str">
        <f aca="false">IF(D118=0,"Yes","No")</f>
        <v>No</v>
      </c>
    </row>
    <row r="119" customFormat="false" ht="15" hidden="false" customHeight="true" outlineLevel="0" collapsed="false">
      <c r="A119" s="6" t="str">
        <f aca="false">'Raw Data'!A119</f>
        <v>SKU-1175</v>
      </c>
      <c r="B119" s="6" t="str">
        <f aca="false">'Raw Data'!B119</f>
        <v>Drift Storage Box F5</v>
      </c>
      <c r="C119" s="6" t="str">
        <f aca="false">'Raw Data'!C119</f>
        <v>Home &amp; Living</v>
      </c>
      <c r="D119" s="6" t="n">
        <f aca="false">SUM('Raw Data'!K119:P119)</f>
        <v>1</v>
      </c>
      <c r="E119" s="8" t="n">
        <f aca="false">D119/6</f>
        <v>0.166666666666667</v>
      </c>
      <c r="F119" s="9" t="n">
        <f aca="false">D119*'Raw Data'!G119</f>
        <v>8180</v>
      </c>
      <c r="G119" s="9" t="n">
        <f aca="false">D119*'Raw Data'!F119</f>
        <v>5920</v>
      </c>
      <c r="H119" s="9" t="n">
        <f aca="false">F119-G119</f>
        <v>2260</v>
      </c>
      <c r="I119" s="6" t="n">
        <f aca="false">'Raw Data'!H119</f>
        <v>137</v>
      </c>
      <c r="J119" s="6" t="n">
        <f aca="false">'Raw Data'!I119</f>
        <v>5</v>
      </c>
      <c r="K119" s="8" t="n">
        <f aca="false">IF(I119=0,0,D119/I119)</f>
        <v>0.0072992700729927</v>
      </c>
      <c r="L119" s="8" t="n">
        <f aca="false">IF(E119=0,999,I119/E119)</f>
        <v>822</v>
      </c>
      <c r="M119" s="6" t="str">
        <f aca="false">IF(D119=0,"Dead Stock",IF(I119&lt;=J119,"Reorder Needed",IF(L119&gt;6,"Overstocked","Healthy")))</f>
        <v>Overstocked</v>
      </c>
      <c r="N119" s="10" t="n">
        <f aca="false">F119/SUM($F$2:$F$151)</f>
        <v>4.65928521210655E-005</v>
      </c>
      <c r="O119" s="10" t="n">
        <f aca="false">SUMPRODUCT(($F$2:$F$151&gt;=F119)*$F$2:$F$151)/SUM($F$2:$F$151)</f>
        <v>0.999966906543909</v>
      </c>
      <c r="P119" s="6" t="str">
        <f aca="false">IF(O119&lt;=0.8,"A",IF(O119&lt;=0.95,"B","C"))</f>
        <v>C</v>
      </c>
      <c r="Q119" s="6" t="str">
        <f aca="false">IF(D119=0,"Yes","No")</f>
        <v>No</v>
      </c>
    </row>
    <row r="120" customFormat="false" ht="15" hidden="false" customHeight="true" outlineLevel="0" collapsed="false">
      <c r="A120" s="3" t="str">
        <f aca="false">'Raw Data'!A120</f>
        <v>SKU-1176</v>
      </c>
      <c r="B120" s="3" t="str">
        <f aca="false">'Raw Data'!B120</f>
        <v>Nova Storage Box B6</v>
      </c>
      <c r="C120" s="3" t="str">
        <f aca="false">'Raw Data'!C120</f>
        <v>Home &amp; Living</v>
      </c>
      <c r="D120" s="3" t="n">
        <f aca="false">SUM('Raw Data'!K120:P120)</f>
        <v>81</v>
      </c>
      <c r="E120" s="4" t="n">
        <f aca="false">D120/6</f>
        <v>13.5</v>
      </c>
      <c r="F120" s="5" t="n">
        <f aca="false">D120*'Raw Data'!G120</f>
        <v>477900</v>
      </c>
      <c r="G120" s="5" t="n">
        <f aca="false">D120*'Raw Data'!F120</f>
        <v>280260</v>
      </c>
      <c r="H120" s="5" t="n">
        <f aca="false">F120-G120</f>
        <v>197640</v>
      </c>
      <c r="I120" s="3" t="n">
        <f aca="false">'Raw Data'!H120</f>
        <v>69</v>
      </c>
      <c r="J120" s="3" t="n">
        <f aca="false">'Raw Data'!I120</f>
        <v>20</v>
      </c>
      <c r="K120" s="4" t="n">
        <f aca="false">IF(I120=0,0,D120/I120)</f>
        <v>1.17391304347826</v>
      </c>
      <c r="L120" s="4" t="n">
        <f aca="false">IF(E120=0,999,I120/E120)</f>
        <v>5.11111111111111</v>
      </c>
      <c r="M120" s="6" t="str">
        <f aca="false">IF(D120=0,"Dead Stock",IF(I120&lt;=J120,"Reorder Needed",IF(L120&gt;6,"Overstocked","Healthy")))</f>
        <v>Healthy</v>
      </c>
      <c r="N120" s="7" t="n">
        <f aca="false">F120/SUM($F$2:$F$151)</f>
        <v>0.00272209340203634</v>
      </c>
      <c r="O120" s="7" t="n">
        <f aca="false">SUMPRODUCT(($F$2:$F$151&gt;=F120)*$F$2:$F$151)/SUM($F$2:$F$151)</f>
        <v>0.929383178419695</v>
      </c>
      <c r="P120" s="6" t="str">
        <f aca="false">IF(O120&lt;=0.8,"A",IF(O120&lt;=0.95,"B","C"))</f>
        <v>B</v>
      </c>
      <c r="Q120" s="6" t="str">
        <f aca="false">IF(D120=0,"Yes","No")</f>
        <v>No</v>
      </c>
    </row>
    <row r="121" customFormat="false" ht="15" hidden="false" customHeight="true" outlineLevel="0" collapsed="false">
      <c r="A121" s="6" t="str">
        <f aca="false">'Raw Data'!A121</f>
        <v>SKU-1177</v>
      </c>
      <c r="B121" s="6" t="str">
        <f aca="false">'Raw Data'!B121</f>
        <v>Drift Storage Box G7</v>
      </c>
      <c r="C121" s="6" t="str">
        <f aca="false">'Raw Data'!C121</f>
        <v>Home &amp; Living</v>
      </c>
      <c r="D121" s="6" t="n">
        <f aca="false">SUM('Raw Data'!K121:P121)</f>
        <v>86</v>
      </c>
      <c r="E121" s="8" t="n">
        <f aca="false">D121/6</f>
        <v>14.3333333333333</v>
      </c>
      <c r="F121" s="9" t="n">
        <f aca="false">D121*'Raw Data'!G121</f>
        <v>1990900</v>
      </c>
      <c r="G121" s="9" t="n">
        <f aca="false">D121*'Raw Data'!F121</f>
        <v>1019960</v>
      </c>
      <c r="H121" s="9" t="n">
        <f aca="false">F121-G121</f>
        <v>970940</v>
      </c>
      <c r="I121" s="6" t="n">
        <f aca="false">'Raw Data'!H121</f>
        <v>54</v>
      </c>
      <c r="J121" s="6" t="n">
        <f aca="false">'Raw Data'!I121</f>
        <v>21</v>
      </c>
      <c r="K121" s="8" t="n">
        <f aca="false">IF(I121=0,0,D121/I121)</f>
        <v>1.59259259259259</v>
      </c>
      <c r="L121" s="8" t="n">
        <f aca="false">IF(E121=0,999,I121/E121)</f>
        <v>3.76744186046512</v>
      </c>
      <c r="M121" s="6" t="str">
        <f aca="false">IF(D121=0,"Dead Stock",IF(I121&lt;=J121,"Reorder Needed",IF(L121&gt;6,"Overstocked","Healthy")))</f>
        <v>Healthy</v>
      </c>
      <c r="N121" s="10" t="n">
        <f aca="false">F121/SUM($F$2:$F$151)</f>
        <v>0.0113400622601258</v>
      </c>
      <c r="O121" s="10" t="n">
        <f aca="false">SUMPRODUCT(($F$2:$F$151&gt;=F121)*$F$2:$F$151)/SUM($F$2:$F$151)</f>
        <v>0.511859845966765</v>
      </c>
      <c r="P121" s="6" t="str">
        <f aca="false">IF(O121&lt;=0.8,"A",IF(O121&lt;=0.95,"B","C"))</f>
        <v>A</v>
      </c>
      <c r="Q121" s="6" t="str">
        <f aca="false">IF(D121=0,"Yes","No")</f>
        <v>No</v>
      </c>
    </row>
    <row r="122" customFormat="false" ht="15" hidden="false" customHeight="true" outlineLevel="0" collapsed="false">
      <c r="A122" s="3" t="str">
        <f aca="false">'Raw Data'!A122</f>
        <v>SKU-1178</v>
      </c>
      <c r="B122" s="3" t="str">
        <f aca="false">'Raw Data'!B122</f>
        <v>Lagoona Storage Box C8</v>
      </c>
      <c r="C122" s="3" t="str">
        <f aca="false">'Raw Data'!C122</f>
        <v>Home &amp; Living</v>
      </c>
      <c r="D122" s="3" t="n">
        <f aca="false">SUM('Raw Data'!K122:P122)</f>
        <v>96</v>
      </c>
      <c r="E122" s="4" t="n">
        <f aca="false">D122/6</f>
        <v>16</v>
      </c>
      <c r="F122" s="5" t="n">
        <f aca="false">D122*'Raw Data'!G122</f>
        <v>1123200</v>
      </c>
      <c r="G122" s="5" t="n">
        <f aca="false">D122*'Raw Data'!F122</f>
        <v>669120</v>
      </c>
      <c r="H122" s="5" t="n">
        <f aca="false">F122-G122</f>
        <v>454080</v>
      </c>
      <c r="I122" s="3" t="n">
        <f aca="false">'Raw Data'!H122</f>
        <v>33</v>
      </c>
      <c r="J122" s="3" t="n">
        <f aca="false">'Raw Data'!I122</f>
        <v>24</v>
      </c>
      <c r="K122" s="4" t="n">
        <f aca="false">IF(I122=0,0,D122/I122)</f>
        <v>2.90909090909091</v>
      </c>
      <c r="L122" s="4" t="n">
        <f aca="false">IF(E122=0,999,I122/E122)</f>
        <v>2.0625</v>
      </c>
      <c r="M122" s="6" t="str">
        <f aca="false">IF(D122=0,"Dead Stock",IF(I122&lt;=J122,"Reorder Needed",IF(L122&gt;6,"Overstocked","Healthy")))</f>
        <v>Healthy</v>
      </c>
      <c r="N122" s="7" t="n">
        <f aca="false">F122/SUM($F$2:$F$151)</f>
        <v>0.00639768844772382</v>
      </c>
      <c r="O122" s="7" t="n">
        <f aca="false">SUMPRODUCT(($F$2:$F$151&gt;=F122)*$F$2:$F$151)/SUM($F$2:$F$151)</f>
        <v>0.794129368984118</v>
      </c>
      <c r="P122" s="6" t="str">
        <f aca="false">IF(O122&lt;=0.8,"A",IF(O122&lt;=0.95,"B","C"))</f>
        <v>A</v>
      </c>
      <c r="Q122" s="6" t="str">
        <f aca="false">IF(D122=0,"Yes","No")</f>
        <v>No</v>
      </c>
    </row>
    <row r="123" customFormat="false" ht="15" hidden="false" customHeight="true" outlineLevel="0" collapsed="false">
      <c r="A123" s="6" t="str">
        <f aca="false">'Raw Data'!A123</f>
        <v>SKU-1181</v>
      </c>
      <c r="B123" s="6" t="str">
        <f aca="false">'Raw Data'!B123</f>
        <v>Tide Wallet D3</v>
      </c>
      <c r="C123" s="6" t="str">
        <f aca="false">'Raw Data'!C123</f>
        <v>Accessories</v>
      </c>
      <c r="D123" s="6" t="n">
        <f aca="false">SUM('Raw Data'!K123:P123)</f>
        <v>12</v>
      </c>
      <c r="E123" s="8" t="n">
        <f aca="false">D123/6</f>
        <v>2</v>
      </c>
      <c r="F123" s="9" t="n">
        <f aca="false">D123*'Raw Data'!G123</f>
        <v>198000</v>
      </c>
      <c r="G123" s="9" t="n">
        <f aca="false">D123*'Raw Data'!F123</f>
        <v>110520</v>
      </c>
      <c r="H123" s="9" t="n">
        <f aca="false">F123-G123</f>
        <v>87480</v>
      </c>
      <c r="I123" s="6" t="n">
        <f aca="false">'Raw Data'!H123</f>
        <v>118</v>
      </c>
      <c r="J123" s="6" t="n">
        <f aca="false">'Raw Data'!I123</f>
        <v>5</v>
      </c>
      <c r="K123" s="8" t="n">
        <f aca="false">IF(I123=0,0,D123/I123)</f>
        <v>0.101694915254237</v>
      </c>
      <c r="L123" s="8" t="n">
        <f aca="false">IF(E123=0,999,I123/E123)</f>
        <v>59</v>
      </c>
      <c r="M123" s="6" t="str">
        <f aca="false">IF(D123=0,"Dead Stock",IF(I123&lt;=J123,"Reorder Needed",IF(L123&gt;6,"Overstocked","Healthy")))</f>
        <v>Overstocked</v>
      </c>
      <c r="N123" s="10" t="n">
        <f aca="false">F123/SUM($F$2:$F$151)</f>
        <v>0.00112779764302824</v>
      </c>
      <c r="O123" s="10" t="n">
        <f aca="false">SUMPRODUCT(($F$2:$F$151&gt;=F123)*$F$2:$F$151)/SUM($F$2:$F$151)</f>
        <v>0.991948037464071</v>
      </c>
      <c r="P123" s="6" t="str">
        <f aca="false">IF(O123&lt;=0.8,"A",IF(O123&lt;=0.95,"B","C"))</f>
        <v>C</v>
      </c>
      <c r="Q123" s="6" t="str">
        <f aca="false">IF(D123=0,"Yes","No")</f>
        <v>No</v>
      </c>
    </row>
    <row r="124" customFormat="false" ht="15" hidden="false" customHeight="true" outlineLevel="0" collapsed="false">
      <c r="A124" s="3" t="str">
        <f aca="false">'Raw Data'!A124</f>
        <v>SKU-1182</v>
      </c>
      <c r="B124" s="3" t="str">
        <f aca="false">'Raw Data'!B124</f>
        <v>Mela Wallet C4</v>
      </c>
      <c r="C124" s="3" t="str">
        <f aca="false">'Raw Data'!C124</f>
        <v>Accessories</v>
      </c>
      <c r="D124" s="3" t="n">
        <f aca="false">SUM('Raw Data'!K124:P124)</f>
        <v>23</v>
      </c>
      <c r="E124" s="4" t="n">
        <f aca="false">D124/6</f>
        <v>3.83333333333333</v>
      </c>
      <c r="F124" s="5" t="n">
        <f aca="false">D124*'Raw Data'!G124</f>
        <v>341780</v>
      </c>
      <c r="G124" s="5" t="n">
        <f aca="false">D124*'Raw Data'!F124</f>
        <v>225170</v>
      </c>
      <c r="H124" s="5" t="n">
        <f aca="false">F124-G124</f>
        <v>116610</v>
      </c>
      <c r="I124" s="3" t="n">
        <f aca="false">'Raw Data'!H124</f>
        <v>94</v>
      </c>
      <c r="J124" s="3" t="n">
        <f aca="false">'Raw Data'!I124</f>
        <v>5</v>
      </c>
      <c r="K124" s="4" t="n">
        <f aca="false">IF(I124=0,0,D124/I124)</f>
        <v>0.24468085106383</v>
      </c>
      <c r="L124" s="4" t="n">
        <f aca="false">IF(E124=0,999,I124/E124)</f>
        <v>24.5217391304348</v>
      </c>
      <c r="M124" s="6" t="str">
        <f aca="false">IF(D124=0,"Dead Stock",IF(I124&lt;=J124,"Reorder Needed",IF(L124&gt;6,"Overstocked","Healthy")))</f>
        <v>Overstocked</v>
      </c>
      <c r="N124" s="7" t="n">
        <f aca="false">F124/SUM($F$2:$F$151)</f>
        <v>0.00194676100219288</v>
      </c>
      <c r="O124" s="7" t="n">
        <f aca="false">SUMPRODUCT(($F$2:$F$151&gt;=F124)*$F$2:$F$151)/SUM($F$2:$F$151)</f>
        <v>0.956849949542447</v>
      </c>
      <c r="P124" s="6" t="str">
        <f aca="false">IF(O124&lt;=0.8,"A",IF(O124&lt;=0.95,"B","C"))</f>
        <v>C</v>
      </c>
      <c r="Q124" s="6" t="str">
        <f aca="false">IF(D124=0,"Yes","No")</f>
        <v>No</v>
      </c>
    </row>
    <row r="125" customFormat="false" ht="15" hidden="false" customHeight="true" outlineLevel="0" collapsed="false">
      <c r="A125" s="6" t="str">
        <f aca="false">'Raw Data'!A125</f>
        <v>SKU-1183</v>
      </c>
      <c r="B125" s="6" t="str">
        <f aca="false">'Raw Data'!B125</f>
        <v>Urbanix Wallet F5</v>
      </c>
      <c r="C125" s="6" t="str">
        <f aca="false">'Raw Data'!C125</f>
        <v>Accessories</v>
      </c>
      <c r="D125" s="6" t="n">
        <f aca="false">SUM('Raw Data'!K125:P125)</f>
        <v>105</v>
      </c>
      <c r="E125" s="8" t="n">
        <f aca="false">D125/6</f>
        <v>17.5</v>
      </c>
      <c r="F125" s="9" t="n">
        <f aca="false">D125*'Raw Data'!G125</f>
        <v>2294250</v>
      </c>
      <c r="G125" s="9" t="n">
        <f aca="false">D125*'Raw Data'!F125</f>
        <v>1129800</v>
      </c>
      <c r="H125" s="9" t="n">
        <f aca="false">F125-G125</f>
        <v>1164450</v>
      </c>
      <c r="I125" s="6" t="n">
        <f aca="false">'Raw Data'!H125</f>
        <v>92</v>
      </c>
      <c r="J125" s="6" t="n">
        <f aca="false">'Raw Data'!I125</f>
        <v>26</v>
      </c>
      <c r="K125" s="8" t="n">
        <f aca="false">IF(I125=0,0,D125/I125)</f>
        <v>1.14130434782609</v>
      </c>
      <c r="L125" s="8" t="n">
        <f aca="false">IF(E125=0,999,I125/E125)</f>
        <v>5.25714285714286</v>
      </c>
      <c r="M125" s="6" t="str">
        <f aca="false">IF(D125=0,"Dead Stock",IF(I125&lt;=J125,"Reorder Needed",IF(L125&gt;6,"Overstocked","Healthy")))</f>
        <v>Healthy</v>
      </c>
      <c r="N125" s="10" t="n">
        <f aca="false">F125/SUM($F$2:$F$151)</f>
        <v>0.0130679279925128</v>
      </c>
      <c r="O125" s="10" t="n">
        <f aca="false">SUMPRODUCT(($F$2:$F$151&gt;=F125)*$F$2:$F$151)/SUM($F$2:$F$151)</f>
        <v>0.453201837444374</v>
      </c>
      <c r="P125" s="6" t="str">
        <f aca="false">IF(O125&lt;=0.8,"A",IF(O125&lt;=0.95,"B","C"))</f>
        <v>A</v>
      </c>
      <c r="Q125" s="6" t="str">
        <f aca="false">IF(D125=0,"Yes","No")</f>
        <v>No</v>
      </c>
    </row>
    <row r="126" customFormat="false" ht="15" hidden="false" customHeight="true" outlineLevel="0" collapsed="false">
      <c r="A126" s="3" t="str">
        <f aca="false">'Raw Data'!A126</f>
        <v>SKU-1185</v>
      </c>
      <c r="B126" s="3" t="str">
        <f aca="false">'Raw Data'!B126</f>
        <v>Coastline Wallet A7</v>
      </c>
      <c r="C126" s="3" t="str">
        <f aca="false">'Raw Data'!C126</f>
        <v>Accessories</v>
      </c>
      <c r="D126" s="3" t="n">
        <f aca="false">SUM('Raw Data'!K126:P126)</f>
        <v>0</v>
      </c>
      <c r="E126" s="4" t="n">
        <f aca="false">D126/6</f>
        <v>0</v>
      </c>
      <c r="F126" s="5" t="n">
        <f aca="false">D126*'Raw Data'!G126</f>
        <v>0</v>
      </c>
      <c r="G126" s="5" t="n">
        <f aca="false">D126*'Raw Data'!F126</f>
        <v>0</v>
      </c>
      <c r="H126" s="5" t="n">
        <f aca="false">F126-G126</f>
        <v>0</v>
      </c>
      <c r="I126" s="3" t="n">
        <f aca="false">'Raw Data'!H126</f>
        <v>146</v>
      </c>
      <c r="J126" s="3" t="n">
        <f aca="false">'Raw Data'!I126</f>
        <v>5</v>
      </c>
      <c r="K126" s="4" t="n">
        <f aca="false">IF(I126=0,0,D126/I126)</f>
        <v>0</v>
      </c>
      <c r="L126" s="4" t="n">
        <f aca="false">IF(E126=0,999,I126/E126)</f>
        <v>999</v>
      </c>
      <c r="M126" s="6" t="str">
        <f aca="false">IF(D126=0,"Dead Stock",IF(I126&lt;=J126,"Reorder Needed",IF(L126&gt;6,"Overstocked","Healthy")))</f>
        <v>Dead Stock</v>
      </c>
      <c r="N126" s="7" t="n">
        <f aca="false">F126/SUM($F$2:$F$151)</f>
        <v>0</v>
      </c>
      <c r="O126" s="7" t="n">
        <f aca="false">SUMPRODUCT(($F$2:$F$151&gt;=F126)*$F$2:$F$151)/SUM($F$2:$F$151)</f>
        <v>1</v>
      </c>
      <c r="P126" s="6" t="str">
        <f aca="false">IF(O126&lt;=0.8,"A",IF(O126&lt;=0.95,"B","C"))</f>
        <v>C</v>
      </c>
      <c r="Q126" s="6" t="str">
        <f aca="false">IF(D126=0,"Yes","No")</f>
        <v>Yes</v>
      </c>
    </row>
    <row r="127" customFormat="false" ht="15" hidden="false" customHeight="true" outlineLevel="0" collapsed="false">
      <c r="A127" s="6" t="str">
        <f aca="false">'Raw Data'!A127</f>
        <v>SKU-1186</v>
      </c>
      <c r="B127" s="6" t="str">
        <f aca="false">'Raw Data'!B127</f>
        <v>Zenith Wallet F8</v>
      </c>
      <c r="C127" s="6" t="str">
        <f aca="false">'Raw Data'!C127</f>
        <v>Accessories</v>
      </c>
      <c r="D127" s="6" t="n">
        <f aca="false">SUM('Raw Data'!K127:P127)</f>
        <v>82</v>
      </c>
      <c r="E127" s="8" t="n">
        <f aca="false">D127/6</f>
        <v>13.6666666666667</v>
      </c>
      <c r="F127" s="9" t="n">
        <f aca="false">D127*'Raw Data'!G127</f>
        <v>885600</v>
      </c>
      <c r="G127" s="9" t="n">
        <f aca="false">D127*'Raw Data'!F127</f>
        <v>596140</v>
      </c>
      <c r="H127" s="9" t="n">
        <f aca="false">F127-G127</f>
        <v>289460</v>
      </c>
      <c r="I127" s="6" t="n">
        <f aca="false">'Raw Data'!H127</f>
        <v>34</v>
      </c>
      <c r="J127" s="6" t="n">
        <f aca="false">'Raw Data'!I127</f>
        <v>20</v>
      </c>
      <c r="K127" s="8" t="n">
        <f aca="false">IF(I127=0,0,D127/I127)</f>
        <v>2.41176470588235</v>
      </c>
      <c r="L127" s="8" t="n">
        <f aca="false">IF(E127=0,999,I127/E127)</f>
        <v>2.48780487804878</v>
      </c>
      <c r="M127" s="6" t="str">
        <f aca="false">IF(D127=0,"Dead Stock",IF(I127&lt;=J127,"Reorder Needed",IF(L127&gt;6,"Overstocked","Healthy")))</f>
        <v>Healthy</v>
      </c>
      <c r="N127" s="10" t="n">
        <f aca="false">F127/SUM($F$2:$F$151)</f>
        <v>0.00504433127608993</v>
      </c>
      <c r="O127" s="10" t="n">
        <f aca="false">SUMPRODUCT(($F$2:$F$151&gt;=F127)*$F$2:$F$151)/SUM($F$2:$F$151)</f>
        <v>0.857094653151246</v>
      </c>
      <c r="P127" s="6" t="str">
        <f aca="false">IF(O127&lt;=0.8,"A",IF(O127&lt;=0.95,"B","C"))</f>
        <v>B</v>
      </c>
      <c r="Q127" s="6" t="str">
        <f aca="false">IF(D127=0,"Yes","No")</f>
        <v>No</v>
      </c>
    </row>
    <row r="128" customFormat="false" ht="15" hidden="false" customHeight="true" outlineLevel="0" collapsed="false">
      <c r="A128" s="3" t="str">
        <f aca="false">'Raw Data'!A128</f>
        <v>SKU-1187</v>
      </c>
      <c r="B128" s="3" t="str">
        <f aca="false">'Raw Data'!B128</f>
        <v>Lagoona Sunglasses C1</v>
      </c>
      <c r="C128" s="3" t="str">
        <f aca="false">'Raw Data'!C128</f>
        <v>Accessories</v>
      </c>
      <c r="D128" s="3" t="n">
        <f aca="false">SUM('Raw Data'!K128:P128)</f>
        <v>75</v>
      </c>
      <c r="E128" s="4" t="n">
        <f aca="false">D128/6</f>
        <v>12.5</v>
      </c>
      <c r="F128" s="5" t="n">
        <f aca="false">D128*'Raw Data'!G128</f>
        <v>2064750</v>
      </c>
      <c r="G128" s="5" t="n">
        <f aca="false">D128*'Raw Data'!F128</f>
        <v>1050000</v>
      </c>
      <c r="H128" s="5" t="n">
        <f aca="false">F128-G128</f>
        <v>1014750</v>
      </c>
      <c r="I128" s="3" t="n">
        <f aca="false">'Raw Data'!H128</f>
        <v>43</v>
      </c>
      <c r="J128" s="3" t="n">
        <f aca="false">'Raw Data'!I128</f>
        <v>18</v>
      </c>
      <c r="K128" s="4" t="n">
        <f aca="false">IF(I128=0,0,D128/I128)</f>
        <v>1.74418604651163</v>
      </c>
      <c r="L128" s="4" t="n">
        <f aca="false">IF(E128=0,999,I128/E128)</f>
        <v>3.44</v>
      </c>
      <c r="M128" s="6" t="str">
        <f aca="false">IF(D128=0,"Dead Stock",IF(I128&lt;=J128,"Reorder Needed",IF(L128&gt;6,"Overstocked","Healthy")))</f>
        <v>Healthy</v>
      </c>
      <c r="N128" s="7" t="n">
        <f aca="false">F128/SUM($F$2:$F$151)</f>
        <v>0.0117607079971846</v>
      </c>
      <c r="O128" s="7" t="n">
        <f aca="false">SUMPRODUCT(($F$2:$F$151&gt;=F128)*$F$2:$F$151)/SUM($F$2:$F$151)</f>
        <v>0.489168329551129</v>
      </c>
      <c r="P128" s="6" t="str">
        <f aca="false">IF(O128&lt;=0.8,"A",IF(O128&lt;=0.95,"B","C"))</f>
        <v>A</v>
      </c>
      <c r="Q128" s="6" t="str">
        <f aca="false">IF(D128=0,"Yes","No")</f>
        <v>No</v>
      </c>
    </row>
    <row r="129" customFormat="false" ht="15" hidden="false" customHeight="true" outlineLevel="0" collapsed="false">
      <c r="A129" s="6" t="str">
        <f aca="false">'Raw Data'!A129</f>
        <v>SKU-1191</v>
      </c>
      <c r="B129" s="6" t="str">
        <f aca="false">'Raw Data'!B129</f>
        <v>Nova Sunglasses H5</v>
      </c>
      <c r="C129" s="6" t="str">
        <f aca="false">'Raw Data'!C129</f>
        <v>Accessories</v>
      </c>
      <c r="D129" s="6" t="n">
        <f aca="false">SUM('Raw Data'!K129:P129)</f>
        <v>94</v>
      </c>
      <c r="E129" s="8" t="n">
        <f aca="false">D129/6</f>
        <v>15.6666666666667</v>
      </c>
      <c r="F129" s="9" t="n">
        <f aca="false">D129*'Raw Data'!G129</f>
        <v>1775660</v>
      </c>
      <c r="G129" s="9" t="n">
        <f aca="false">D129*'Raw Data'!F129</f>
        <v>923080</v>
      </c>
      <c r="H129" s="9" t="n">
        <f aca="false">F129-G129</f>
        <v>852580</v>
      </c>
      <c r="I129" s="6" t="n">
        <f aca="false">'Raw Data'!H129</f>
        <v>26</v>
      </c>
      <c r="J129" s="6" t="n">
        <f aca="false">'Raw Data'!I129</f>
        <v>23</v>
      </c>
      <c r="K129" s="8" t="n">
        <f aca="false">IF(I129=0,0,D129/I129)</f>
        <v>3.61538461538462</v>
      </c>
      <c r="L129" s="8" t="n">
        <f aca="false">IF(E129=0,999,I129/E129)</f>
        <v>1.65957446808511</v>
      </c>
      <c r="M129" s="6" t="str">
        <f aca="false">IF(D129=0,"Dead Stock",IF(I129&lt;=J129,"Reorder Needed",IF(L129&gt;6,"Overstocked","Healthy")))</f>
        <v>Healthy</v>
      </c>
      <c r="N129" s="10" t="n">
        <f aca="false">F129/SUM($F$2:$F$151)</f>
        <v>0.0101140664788865</v>
      </c>
      <c r="O129" s="10" t="n">
        <f aca="false">SUMPRODUCT(($F$2:$F$151&gt;=F129)*$F$2:$F$151)/SUM($F$2:$F$151)</f>
        <v>0.554267771399519</v>
      </c>
      <c r="P129" s="6" t="str">
        <f aca="false">IF(O129&lt;=0.8,"A",IF(O129&lt;=0.95,"B","C"))</f>
        <v>A</v>
      </c>
      <c r="Q129" s="6" t="str">
        <f aca="false">IF(D129=0,"Yes","No")</f>
        <v>No</v>
      </c>
    </row>
    <row r="130" customFormat="false" ht="15" hidden="false" customHeight="true" outlineLevel="0" collapsed="false">
      <c r="A130" s="3" t="str">
        <f aca="false">'Raw Data'!A130</f>
        <v>SKU-1192</v>
      </c>
      <c r="B130" s="3" t="str">
        <f aca="false">'Raw Data'!B130</f>
        <v>Mela Sunglasses C6</v>
      </c>
      <c r="C130" s="3" t="str">
        <f aca="false">'Raw Data'!C130</f>
        <v>Accessories</v>
      </c>
      <c r="D130" s="3" t="n">
        <f aca="false">SUM('Raw Data'!K130:P130)</f>
        <v>72</v>
      </c>
      <c r="E130" s="4" t="n">
        <f aca="false">D130/6</f>
        <v>12</v>
      </c>
      <c r="F130" s="5" t="n">
        <f aca="false">D130*'Raw Data'!G130</f>
        <v>422640</v>
      </c>
      <c r="G130" s="5" t="n">
        <f aca="false">D130*'Raw Data'!F130</f>
        <v>257040</v>
      </c>
      <c r="H130" s="5" t="n">
        <f aca="false">F130-G130</f>
        <v>165600</v>
      </c>
      <c r="I130" s="3" t="n">
        <f aca="false">'Raw Data'!H130</f>
        <v>92</v>
      </c>
      <c r="J130" s="3" t="n">
        <f aca="false">'Raw Data'!I130</f>
        <v>18</v>
      </c>
      <c r="K130" s="4" t="n">
        <f aca="false">IF(I130=0,0,D130/I130)</f>
        <v>0.782608695652174</v>
      </c>
      <c r="L130" s="4" t="n">
        <f aca="false">IF(E130=0,999,I130/E130)</f>
        <v>7.66666666666667</v>
      </c>
      <c r="M130" s="6" t="str">
        <f aca="false">IF(D130=0,"Dead Stock",IF(I130&lt;=J130,"Reorder Needed",IF(L130&gt;6,"Overstocked","Healthy")))</f>
        <v>Overstocked</v>
      </c>
      <c r="N130" s="7" t="n">
        <f aca="false">F130/SUM($F$2:$F$151)</f>
        <v>0.002407335332573</v>
      </c>
      <c r="O130" s="7" t="n">
        <f aca="false">SUMPRODUCT(($F$2:$F$151&gt;=F130)*$F$2:$F$151)/SUM($F$2:$F$151)</f>
        <v>0.939453784817691</v>
      </c>
      <c r="P130" s="6" t="str">
        <f aca="false">IF(O130&lt;=0.8,"A",IF(O130&lt;=0.95,"B","C"))</f>
        <v>B</v>
      </c>
      <c r="Q130" s="6" t="str">
        <f aca="false">IF(D130=0,"Yes","No")</f>
        <v>No</v>
      </c>
    </row>
    <row r="131" customFormat="false" ht="15" hidden="false" customHeight="true" outlineLevel="0" collapsed="false">
      <c r="A131" s="6" t="str">
        <f aca="false">'Raw Data'!A131</f>
        <v>SKU-1193</v>
      </c>
      <c r="B131" s="6" t="str">
        <f aca="false">'Raw Data'!B131</f>
        <v>Zenith Sunglasses A7</v>
      </c>
      <c r="C131" s="6" t="str">
        <f aca="false">'Raw Data'!C131</f>
        <v>Accessories</v>
      </c>
      <c r="D131" s="6" t="n">
        <f aca="false">SUM('Raw Data'!K131:P131)</f>
        <v>224</v>
      </c>
      <c r="E131" s="8" t="n">
        <f aca="false">D131/6</f>
        <v>37.3333333333333</v>
      </c>
      <c r="F131" s="9" t="n">
        <f aca="false">D131*'Raw Data'!G131</f>
        <v>1877120</v>
      </c>
      <c r="G131" s="9" t="n">
        <f aca="false">D131*'Raw Data'!F131</f>
        <v>1052800</v>
      </c>
      <c r="H131" s="9" t="n">
        <f aca="false">F131-G131</f>
        <v>824320</v>
      </c>
      <c r="I131" s="6" t="n">
        <f aca="false">'Raw Data'!H131</f>
        <v>59</v>
      </c>
      <c r="J131" s="6" t="n">
        <f aca="false">'Raw Data'!I131</f>
        <v>56</v>
      </c>
      <c r="K131" s="8" t="n">
        <f aca="false">IF(I131=0,0,D131/I131)</f>
        <v>3.79661016949153</v>
      </c>
      <c r="L131" s="8" t="n">
        <f aca="false">IF(E131=0,999,I131/E131)</f>
        <v>1.58035714285714</v>
      </c>
      <c r="M131" s="6" t="str">
        <f aca="false">IF(D131=0,"Dead Stock",IF(I131&lt;=J131,"Reorder Needed",IF(L131&gt;6,"Overstocked","Healthy")))</f>
        <v>Healthy</v>
      </c>
      <c r="N131" s="10" t="n">
        <f aca="false">F131/SUM($F$2:$F$151)</f>
        <v>0.0106919773317231</v>
      </c>
      <c r="O131" s="10" t="n">
        <f aca="false">SUMPRODUCT(($F$2:$F$151&gt;=F131)*$F$2:$F$151)/SUM($F$2:$F$151)</f>
        <v>0.53382296459154</v>
      </c>
      <c r="P131" s="6" t="str">
        <f aca="false">IF(O131&lt;=0.8,"A",IF(O131&lt;=0.95,"B","C"))</f>
        <v>A</v>
      </c>
      <c r="Q131" s="6" t="str">
        <f aca="false">IF(D131=0,"Yes","No")</f>
        <v>No</v>
      </c>
    </row>
    <row r="132" customFormat="false" ht="15" hidden="false" customHeight="true" outlineLevel="0" collapsed="false">
      <c r="A132" s="3" t="str">
        <f aca="false">'Raw Data'!A132</f>
        <v>SKU-1194</v>
      </c>
      <c r="B132" s="3" t="str">
        <f aca="false">'Raw Data'!B132</f>
        <v>Bravo Sunglasses A8</v>
      </c>
      <c r="C132" s="3" t="str">
        <f aca="false">'Raw Data'!C132</f>
        <v>Accessories</v>
      </c>
      <c r="D132" s="3" t="n">
        <f aca="false">SUM('Raw Data'!K132:P132)</f>
        <v>77</v>
      </c>
      <c r="E132" s="4" t="n">
        <f aca="false">D132/6</f>
        <v>12.8333333333333</v>
      </c>
      <c r="F132" s="5" t="n">
        <f aca="false">D132*'Raw Data'!G132</f>
        <v>1514590</v>
      </c>
      <c r="G132" s="5" t="n">
        <f aca="false">D132*'Raw Data'!F132</f>
        <v>892430</v>
      </c>
      <c r="H132" s="5" t="n">
        <f aca="false">F132-G132</f>
        <v>622160</v>
      </c>
      <c r="I132" s="3" t="n">
        <f aca="false">'Raw Data'!H132</f>
        <v>53</v>
      </c>
      <c r="J132" s="3" t="n">
        <f aca="false">'Raw Data'!I132</f>
        <v>19</v>
      </c>
      <c r="K132" s="4" t="n">
        <f aca="false">IF(I132=0,0,D132/I132)</f>
        <v>1.45283018867925</v>
      </c>
      <c r="L132" s="4" t="n">
        <f aca="false">IF(E132=0,999,I132/E132)</f>
        <v>4.12987012987013</v>
      </c>
      <c r="M132" s="6" t="str">
        <f aca="false">IF(D132=0,"Dead Stock",IF(I132&lt;=J132,"Reorder Needed",IF(L132&gt;6,"Overstocked","Healthy")))</f>
        <v>Healthy</v>
      </c>
      <c r="N132" s="7" t="n">
        <f aca="false">F132/SUM($F$2:$F$151)</f>
        <v>0.00862702541491989</v>
      </c>
      <c r="O132" s="7" t="n">
        <f aca="false">SUMPRODUCT(($F$2:$F$151&gt;=F132)*$F$2:$F$151)/SUM($F$2:$F$151)</f>
        <v>0.638455700991454</v>
      </c>
      <c r="P132" s="6" t="str">
        <f aca="false">IF(O132&lt;=0.8,"A",IF(O132&lt;=0.95,"B","C"))</f>
        <v>A</v>
      </c>
      <c r="Q132" s="6" t="str">
        <f aca="false">IF(D132=0,"Yes","No")</f>
        <v>No</v>
      </c>
    </row>
    <row r="133" customFormat="false" ht="15" hidden="false" customHeight="true" outlineLevel="0" collapsed="false">
      <c r="A133" s="6" t="str">
        <f aca="false">'Raw Data'!A133</f>
        <v>SKU-1195</v>
      </c>
      <c r="B133" s="6" t="str">
        <f aca="false">'Raw Data'!B133</f>
        <v>Mela Sunglasses B9</v>
      </c>
      <c r="C133" s="6" t="str">
        <f aca="false">'Raw Data'!C133</f>
        <v>Accessories</v>
      </c>
      <c r="D133" s="6" t="n">
        <f aca="false">SUM('Raw Data'!K133:P133)</f>
        <v>17</v>
      </c>
      <c r="E133" s="8" t="n">
        <f aca="false">D133/6</f>
        <v>2.83333333333333</v>
      </c>
      <c r="F133" s="9" t="n">
        <f aca="false">D133*'Raw Data'!G133</f>
        <v>303790</v>
      </c>
      <c r="G133" s="9" t="n">
        <f aca="false">D133*'Raw Data'!F133</f>
        <v>200770</v>
      </c>
      <c r="H133" s="9" t="n">
        <f aca="false">F133-G133</f>
        <v>103020</v>
      </c>
      <c r="I133" s="6" t="n">
        <f aca="false">'Raw Data'!H133</f>
        <v>56</v>
      </c>
      <c r="J133" s="6" t="n">
        <f aca="false">'Raw Data'!I133</f>
        <v>5</v>
      </c>
      <c r="K133" s="8" t="n">
        <f aca="false">IF(I133=0,0,D133/I133)</f>
        <v>0.303571428571429</v>
      </c>
      <c r="L133" s="8" t="n">
        <f aca="false">IF(E133=0,999,I133/E133)</f>
        <v>19.7647058823529</v>
      </c>
      <c r="M133" s="6" t="str">
        <f aca="false">IF(D133=0,"Dead Stock",IF(I133&lt;=J133,"Reorder Needed",IF(L133&gt;6,"Overstocked","Healthy")))</f>
        <v>Overstocked</v>
      </c>
      <c r="N133" s="10" t="n">
        <f aca="false">F133/SUM($F$2:$F$151)</f>
        <v>0.00173037194937146</v>
      </c>
      <c r="O133" s="10" t="n">
        <f aca="false">SUMPRODUCT(($F$2:$F$151&gt;=F133)*$F$2:$F$151)/SUM($F$2:$F$151)</f>
        <v>0.96773171585127</v>
      </c>
      <c r="P133" s="6" t="str">
        <f aca="false">IF(O133&lt;=0.8,"A",IF(O133&lt;=0.95,"B","C"))</f>
        <v>C</v>
      </c>
      <c r="Q133" s="6" t="str">
        <f aca="false">IF(D133=0,"Yes","No")</f>
        <v>No</v>
      </c>
    </row>
    <row r="134" customFormat="false" ht="15" hidden="false" customHeight="true" outlineLevel="0" collapsed="false">
      <c r="A134" s="3" t="str">
        <f aca="false">'Raw Data'!A134</f>
        <v>SKU-1196</v>
      </c>
      <c r="B134" s="3" t="str">
        <f aca="false">'Raw Data'!B134</f>
        <v>Tide Sunglasses F10</v>
      </c>
      <c r="C134" s="3" t="str">
        <f aca="false">'Raw Data'!C134</f>
        <v>Accessories</v>
      </c>
      <c r="D134" s="3" t="n">
        <f aca="false">SUM('Raw Data'!K134:P134)</f>
        <v>198</v>
      </c>
      <c r="E134" s="4" t="n">
        <f aca="false">D134/6</f>
        <v>33</v>
      </c>
      <c r="F134" s="5" t="n">
        <f aca="false">D134*'Raw Data'!G134</f>
        <v>3041280</v>
      </c>
      <c r="G134" s="5" t="n">
        <f aca="false">D134*'Raw Data'!F134</f>
        <v>1655280</v>
      </c>
      <c r="H134" s="5" t="n">
        <f aca="false">F134-G134</f>
        <v>1386000</v>
      </c>
      <c r="I134" s="3" t="n">
        <f aca="false">'Raw Data'!H134</f>
        <v>16</v>
      </c>
      <c r="J134" s="3" t="n">
        <f aca="false">'Raw Data'!I134</f>
        <v>49</v>
      </c>
      <c r="K134" s="4" t="n">
        <f aca="false">IF(I134=0,0,D134/I134)</f>
        <v>12.375</v>
      </c>
      <c r="L134" s="4" t="n">
        <f aca="false">IF(E134=0,999,I134/E134)</f>
        <v>0.484848484848485</v>
      </c>
      <c r="M134" s="6" t="str">
        <f aca="false">IF(D134=0,"Dead Stock",IF(I134&lt;=J134,"Reorder Needed",IF(L134&gt;6,"Overstocked","Healthy")))</f>
        <v>Reorder Needed</v>
      </c>
      <c r="N134" s="7" t="n">
        <f aca="false">F134/SUM($F$2:$F$151)</f>
        <v>0.0173229717969137</v>
      </c>
      <c r="O134" s="7" t="n">
        <f aca="false">SUMPRODUCT(($F$2:$F$151&gt;=F134)*$F$2:$F$151)/SUM($F$2:$F$151)</f>
        <v>0.349816399670068</v>
      </c>
      <c r="P134" s="6" t="str">
        <f aca="false">IF(O134&lt;=0.8,"A",IF(O134&lt;=0.95,"B","C"))</f>
        <v>A</v>
      </c>
      <c r="Q134" s="6" t="str">
        <f aca="false">IF(D134=0,"Yes","No")</f>
        <v>No</v>
      </c>
    </row>
    <row r="135" customFormat="false" ht="15" hidden="false" customHeight="true" outlineLevel="0" collapsed="false">
      <c r="A135" s="6" t="str">
        <f aca="false">'Raw Data'!A135</f>
        <v>SKU-1197</v>
      </c>
      <c r="B135" s="6" t="str">
        <f aca="false">'Raw Data'!B135</f>
        <v>Zenith Backpack C1</v>
      </c>
      <c r="C135" s="6" t="str">
        <f aca="false">'Raw Data'!C135</f>
        <v>Accessories</v>
      </c>
      <c r="D135" s="6" t="n">
        <f aca="false">SUM('Raw Data'!K135:P135)</f>
        <v>254</v>
      </c>
      <c r="E135" s="8" t="n">
        <f aca="false">D135/6</f>
        <v>42.3333333333333</v>
      </c>
      <c r="F135" s="9" t="n">
        <f aca="false">D135*'Raw Data'!G135</f>
        <v>3878580</v>
      </c>
      <c r="G135" s="9" t="n">
        <f aca="false">D135*'Raw Data'!F135</f>
        <v>2733040</v>
      </c>
      <c r="H135" s="9" t="n">
        <f aca="false">F135-G135</f>
        <v>1145540</v>
      </c>
      <c r="I135" s="6" t="n">
        <f aca="false">'Raw Data'!H135</f>
        <v>50</v>
      </c>
      <c r="J135" s="6" t="n">
        <f aca="false">'Raw Data'!I135</f>
        <v>63</v>
      </c>
      <c r="K135" s="8" t="n">
        <f aca="false">IF(I135=0,0,D135/I135)</f>
        <v>5.08</v>
      </c>
      <c r="L135" s="8" t="n">
        <f aca="false">IF(E135=0,999,I135/E135)</f>
        <v>1.18110236220472</v>
      </c>
      <c r="M135" s="6" t="str">
        <f aca="false">IF(D135=0,"Dead Stock",IF(I135&lt;=J135,"Reorder Needed",IF(L135&gt;6,"Overstocked","Healthy")))</f>
        <v>Reorder Needed</v>
      </c>
      <c r="N135" s="10" t="n">
        <f aca="false">F135/SUM($F$2:$F$151)</f>
        <v>0.0220921887994771</v>
      </c>
      <c r="O135" s="10" t="n">
        <f aca="false">SUMPRODUCT(($F$2:$F$151&gt;=F135)*$F$2:$F$151)/SUM($F$2:$F$151)</f>
        <v>0.25523040364732</v>
      </c>
      <c r="P135" s="6" t="str">
        <f aca="false">IF(O135&lt;=0.8,"A",IF(O135&lt;=0.95,"B","C"))</f>
        <v>A</v>
      </c>
      <c r="Q135" s="6" t="str">
        <f aca="false">IF(D135=0,"Yes","No")</f>
        <v>No</v>
      </c>
    </row>
    <row r="136" customFormat="false" ht="15" hidden="false" customHeight="true" outlineLevel="0" collapsed="false">
      <c r="A136" s="3" t="str">
        <f aca="false">'Raw Data'!A136</f>
        <v>SKU-1198</v>
      </c>
      <c r="B136" s="3" t="str">
        <f aca="false">'Raw Data'!B136</f>
        <v>Mela Backpack B2</v>
      </c>
      <c r="C136" s="3" t="str">
        <f aca="false">'Raw Data'!C136</f>
        <v>Accessories</v>
      </c>
      <c r="D136" s="3" t="n">
        <f aca="false">SUM('Raw Data'!K136:P136)</f>
        <v>239</v>
      </c>
      <c r="E136" s="4" t="n">
        <f aca="false">D136/6</f>
        <v>39.8333333333333</v>
      </c>
      <c r="F136" s="5" t="n">
        <f aca="false">D136*'Raw Data'!G136</f>
        <v>4899500</v>
      </c>
      <c r="G136" s="5" t="n">
        <f aca="false">D136*'Raw Data'!F136</f>
        <v>2342200</v>
      </c>
      <c r="H136" s="5" t="n">
        <f aca="false">F136-G136</f>
        <v>2557300</v>
      </c>
      <c r="I136" s="3" t="n">
        <f aca="false">'Raw Data'!H136</f>
        <v>10</v>
      </c>
      <c r="J136" s="3" t="n">
        <f aca="false">'Raw Data'!I136</f>
        <v>59</v>
      </c>
      <c r="K136" s="4" t="n">
        <f aca="false">IF(I136=0,0,D136/I136)</f>
        <v>23.9</v>
      </c>
      <c r="L136" s="4" t="n">
        <f aca="false">IF(E136=0,999,I136/E136)</f>
        <v>0.251046025104603</v>
      </c>
      <c r="M136" s="6" t="str">
        <f aca="false">IF(D136=0,"Dead Stock",IF(I136&lt;=J136,"Reorder Needed",IF(L136&gt;6,"Overstocked","Healthy")))</f>
        <v>Reorder Needed</v>
      </c>
      <c r="N136" s="7" t="n">
        <f aca="false">F136/SUM($F$2:$F$151)</f>
        <v>0.0279072957172568</v>
      </c>
      <c r="O136" s="7" t="n">
        <f aca="false">SUMPRODUCT(($F$2:$F$151&gt;=F136)*$F$2:$F$151)/SUM($F$2:$F$151)</f>
        <v>0.0586659258896828</v>
      </c>
      <c r="P136" s="6" t="str">
        <f aca="false">IF(O136&lt;=0.8,"A",IF(O136&lt;=0.95,"B","C"))</f>
        <v>A</v>
      </c>
      <c r="Q136" s="6" t="str">
        <f aca="false">IF(D136=0,"Yes","No")</f>
        <v>No</v>
      </c>
    </row>
    <row r="137" customFormat="false" ht="15" hidden="false" customHeight="true" outlineLevel="0" collapsed="false">
      <c r="A137" s="6" t="str">
        <f aca="false">'Raw Data'!A137</f>
        <v>SKU-1199</v>
      </c>
      <c r="B137" s="6" t="str">
        <f aca="false">'Raw Data'!B137</f>
        <v>Coastline Backpack B3</v>
      </c>
      <c r="C137" s="6" t="str">
        <f aca="false">'Raw Data'!C137</f>
        <v>Accessories</v>
      </c>
      <c r="D137" s="6" t="n">
        <f aca="false">SUM('Raw Data'!K137:P137)</f>
        <v>1</v>
      </c>
      <c r="E137" s="8" t="n">
        <f aca="false">D137/6</f>
        <v>0.166666666666667</v>
      </c>
      <c r="F137" s="9" t="n">
        <f aca="false">D137*'Raw Data'!G137</f>
        <v>20060</v>
      </c>
      <c r="G137" s="9" t="n">
        <f aca="false">D137*'Raw Data'!F137</f>
        <v>12100</v>
      </c>
      <c r="H137" s="9" t="n">
        <f aca="false">F137-G137</f>
        <v>7960</v>
      </c>
      <c r="I137" s="6" t="n">
        <f aca="false">'Raw Data'!H137</f>
        <v>74</v>
      </c>
      <c r="J137" s="6" t="n">
        <f aca="false">'Raw Data'!I137</f>
        <v>5</v>
      </c>
      <c r="K137" s="8" t="n">
        <f aca="false">IF(I137=0,0,D137/I137)</f>
        <v>0.0135135135135135</v>
      </c>
      <c r="L137" s="8" t="n">
        <f aca="false">IF(E137=0,999,I137/E137)</f>
        <v>444</v>
      </c>
      <c r="M137" s="6" t="str">
        <f aca="false">IF(D137=0,"Dead Stock",IF(I137&lt;=J137,"Reorder Needed",IF(L137&gt;6,"Overstocked","Healthy")))</f>
        <v>Overstocked</v>
      </c>
      <c r="N137" s="10" t="n">
        <f aca="false">F137/SUM($F$2:$F$151)</f>
        <v>0.00011426071070276</v>
      </c>
      <c r="O137" s="10" t="n">
        <f aca="false">SUMPRODUCT(($F$2:$F$151&gt;=F137)*$F$2:$F$151)/SUM($F$2:$F$151)</f>
        <v>0.999644686782969</v>
      </c>
      <c r="P137" s="6" t="str">
        <f aca="false">IF(O137&lt;=0.8,"A",IF(O137&lt;=0.95,"B","C"))</f>
        <v>C</v>
      </c>
      <c r="Q137" s="6" t="str">
        <f aca="false">IF(D137=0,"Yes","No")</f>
        <v>No</v>
      </c>
    </row>
    <row r="138" customFormat="false" ht="15" hidden="false" customHeight="true" outlineLevel="0" collapsed="false">
      <c r="A138" s="3" t="str">
        <f aca="false">'Raw Data'!A138</f>
        <v>SKU-1201</v>
      </c>
      <c r="B138" s="3" t="str">
        <f aca="false">'Raw Data'!B138</f>
        <v>Mela Backpack A5</v>
      </c>
      <c r="C138" s="3" t="str">
        <f aca="false">'Raw Data'!C138</f>
        <v>Accessories</v>
      </c>
      <c r="D138" s="3" t="n">
        <f aca="false">SUM('Raw Data'!K138:P138)</f>
        <v>1</v>
      </c>
      <c r="E138" s="4" t="n">
        <f aca="false">D138/6</f>
        <v>0.166666666666667</v>
      </c>
      <c r="F138" s="5" t="n">
        <f aca="false">D138*'Raw Data'!G138</f>
        <v>25070</v>
      </c>
      <c r="G138" s="5" t="n">
        <f aca="false">D138*'Raw Data'!F138</f>
        <v>14880</v>
      </c>
      <c r="H138" s="5" t="n">
        <f aca="false">F138-G138</f>
        <v>10190</v>
      </c>
      <c r="I138" s="3" t="n">
        <f aca="false">'Raw Data'!H138</f>
        <v>60</v>
      </c>
      <c r="J138" s="3" t="n">
        <f aca="false">'Raw Data'!I138</f>
        <v>5</v>
      </c>
      <c r="K138" s="4" t="n">
        <f aca="false">IF(I138=0,0,D138/I138)</f>
        <v>0.0166666666666667</v>
      </c>
      <c r="L138" s="4" t="n">
        <f aca="false">IF(E138=0,999,I138/E138)</f>
        <v>360</v>
      </c>
      <c r="M138" s="6" t="str">
        <f aca="false">IF(D138=0,"Dead Stock",IF(I138&lt;=J138,"Reorder Needed",IF(L138&gt;6,"Overstocked","Healthy")))</f>
        <v>Overstocked</v>
      </c>
      <c r="N138" s="7" t="n">
        <f aca="false">F138/SUM($F$2:$F$151)</f>
        <v>0.000142797408639989</v>
      </c>
      <c r="O138" s="7" t="n">
        <f aca="false">SUMPRODUCT(($F$2:$F$151&gt;=F138)*$F$2:$F$151)/SUM($F$2:$F$151)</f>
        <v>0.999530426072266</v>
      </c>
      <c r="P138" s="6" t="str">
        <f aca="false">IF(O138&lt;=0.8,"A",IF(O138&lt;=0.95,"B","C"))</f>
        <v>C</v>
      </c>
      <c r="Q138" s="6" t="str">
        <f aca="false">IF(D138=0,"Yes","No")</f>
        <v>No</v>
      </c>
    </row>
    <row r="139" customFormat="false" ht="15" hidden="false" customHeight="true" outlineLevel="0" collapsed="false">
      <c r="A139" s="6" t="str">
        <f aca="false">'Raw Data'!A139</f>
        <v>SKU-1205</v>
      </c>
      <c r="B139" s="6" t="str">
        <f aca="false">'Raw Data'!B139</f>
        <v>Nova Belt H1</v>
      </c>
      <c r="C139" s="6" t="str">
        <f aca="false">'Raw Data'!C139</f>
        <v>Accessories</v>
      </c>
      <c r="D139" s="6" t="n">
        <f aca="false">SUM('Raw Data'!K139:P139)</f>
        <v>21</v>
      </c>
      <c r="E139" s="8" t="n">
        <f aca="false">D139/6</f>
        <v>3.5</v>
      </c>
      <c r="F139" s="9" t="n">
        <f aca="false">D139*'Raw Data'!G139</f>
        <v>181440</v>
      </c>
      <c r="G139" s="9" t="n">
        <f aca="false">D139*'Raw Data'!F139</f>
        <v>121590</v>
      </c>
      <c r="H139" s="9" t="n">
        <f aca="false">F139-G139</f>
        <v>59850</v>
      </c>
      <c r="I139" s="6" t="n">
        <f aca="false">'Raw Data'!H139</f>
        <v>45</v>
      </c>
      <c r="J139" s="6" t="n">
        <f aca="false">'Raw Data'!I139</f>
        <v>5</v>
      </c>
      <c r="K139" s="8" t="n">
        <f aca="false">IF(I139=0,0,D139/I139)</f>
        <v>0.466666666666667</v>
      </c>
      <c r="L139" s="8" t="n">
        <f aca="false">IF(E139=0,999,I139/E139)</f>
        <v>12.8571428571429</v>
      </c>
      <c r="M139" s="6" t="str">
        <f aca="false">IF(D139=0,"Dead Stock",IF(I139&lt;=J139,"Reorder Needed",IF(L139&gt;6,"Overstocked","Healthy")))</f>
        <v>Overstocked</v>
      </c>
      <c r="N139" s="10" t="n">
        <f aca="false">F139/SUM($F$2:$F$151)</f>
        <v>0.00103347274924769</v>
      </c>
      <c r="O139" s="10" t="n">
        <f aca="false">SUMPRODUCT(($F$2:$F$151&gt;=F139)*$F$2:$F$151)/SUM($F$2:$F$151)</f>
        <v>0.994078037103517</v>
      </c>
      <c r="P139" s="6" t="str">
        <f aca="false">IF(O139&lt;=0.8,"A",IF(O139&lt;=0.95,"B","C"))</f>
        <v>C</v>
      </c>
      <c r="Q139" s="6" t="str">
        <f aca="false">IF(D139=0,"Yes","No")</f>
        <v>No</v>
      </c>
    </row>
    <row r="140" customFormat="false" ht="15" hidden="false" customHeight="true" outlineLevel="0" collapsed="false">
      <c r="A140" s="3" t="str">
        <f aca="false">'Raw Data'!A140</f>
        <v>SKU-1206</v>
      </c>
      <c r="B140" s="3" t="str">
        <f aca="false">'Raw Data'!B140</f>
        <v>Coastline Belt G2</v>
      </c>
      <c r="C140" s="3" t="str">
        <f aca="false">'Raw Data'!C140</f>
        <v>Accessories</v>
      </c>
      <c r="D140" s="3" t="n">
        <f aca="false">SUM('Raw Data'!K140:P140)</f>
        <v>80</v>
      </c>
      <c r="E140" s="4" t="n">
        <f aca="false">D140/6</f>
        <v>13.3333333333333</v>
      </c>
      <c r="F140" s="5" t="n">
        <f aca="false">D140*'Raw Data'!G140</f>
        <v>600800</v>
      </c>
      <c r="G140" s="5" t="n">
        <f aca="false">D140*'Raw Data'!F140</f>
        <v>421600</v>
      </c>
      <c r="H140" s="5" t="n">
        <f aca="false">F140-G140</f>
        <v>179200</v>
      </c>
      <c r="I140" s="3" t="n">
        <f aca="false">'Raw Data'!H140</f>
        <v>58</v>
      </c>
      <c r="J140" s="3" t="n">
        <f aca="false">'Raw Data'!I140</f>
        <v>20</v>
      </c>
      <c r="K140" s="4" t="n">
        <f aca="false">IF(I140=0,0,D140/I140)</f>
        <v>1.37931034482759</v>
      </c>
      <c r="L140" s="4" t="n">
        <f aca="false">IF(E140=0,999,I140/E140)</f>
        <v>4.35</v>
      </c>
      <c r="M140" s="6" t="str">
        <f aca="false">IF(D140=0,"Dead Stock",IF(I140&lt;=J140,"Reorder Needed",IF(L140&gt;6,"Overstocked","Healthy")))</f>
        <v>Healthy</v>
      </c>
      <c r="N140" s="7" t="n">
        <f aca="false">F140/SUM($F$2:$F$151)</f>
        <v>0.00342212537339073</v>
      </c>
      <c r="O140" s="7" t="n">
        <f aca="false">SUMPRODUCT(($F$2:$F$151&gt;=F140)*$F$2:$F$151)/SUM($F$2:$F$151)</f>
        <v>0.905113827533881</v>
      </c>
      <c r="P140" s="6" t="str">
        <f aca="false">IF(O140&lt;=0.8,"A",IF(O140&lt;=0.95,"B","C"))</f>
        <v>B</v>
      </c>
      <c r="Q140" s="6" t="str">
        <f aca="false">IF(D140=0,"Yes","No")</f>
        <v>No</v>
      </c>
    </row>
    <row r="141" customFormat="false" ht="15" hidden="false" customHeight="true" outlineLevel="0" collapsed="false">
      <c r="A141" s="6" t="str">
        <f aca="false">'Raw Data'!A141</f>
        <v>SKU-1208</v>
      </c>
      <c r="B141" s="6" t="str">
        <f aca="false">'Raw Data'!B141</f>
        <v>Coastline Belt F4</v>
      </c>
      <c r="C141" s="6" t="str">
        <f aca="false">'Raw Data'!C141</f>
        <v>Accessories</v>
      </c>
      <c r="D141" s="6" t="n">
        <f aca="false">SUM('Raw Data'!K141:P141)</f>
        <v>75</v>
      </c>
      <c r="E141" s="8" t="n">
        <f aca="false">D141/6</f>
        <v>12.5</v>
      </c>
      <c r="F141" s="9" t="n">
        <f aca="false">D141*'Raw Data'!G141</f>
        <v>415500</v>
      </c>
      <c r="G141" s="9" t="n">
        <f aca="false">D141*'Raw Data'!F141</f>
        <v>200250</v>
      </c>
      <c r="H141" s="9" t="n">
        <f aca="false">F141-G141</f>
        <v>215250</v>
      </c>
      <c r="I141" s="6" t="n">
        <f aca="false">'Raw Data'!H141</f>
        <v>28</v>
      </c>
      <c r="J141" s="6" t="n">
        <f aca="false">'Raw Data'!I141</f>
        <v>18</v>
      </c>
      <c r="K141" s="8" t="n">
        <f aca="false">IF(I141=0,0,D141/I141)</f>
        <v>2.67857142857143</v>
      </c>
      <c r="L141" s="8" t="n">
        <f aca="false">IF(E141=0,999,I141/E141)</f>
        <v>2.24</v>
      </c>
      <c r="M141" s="6" t="str">
        <f aca="false">IF(D141=0,"Dead Stock",IF(I141&lt;=J141,"Reorder Needed",IF(L141&gt;6,"Overstocked","Healthy")))</f>
        <v>Healthy</v>
      </c>
      <c r="N141" s="10" t="n">
        <f aca="false">F141/SUM($F$2:$F$151)</f>
        <v>0.00236666626605168</v>
      </c>
      <c r="O141" s="10" t="n">
        <f aca="false">SUMPRODUCT(($F$2:$F$151&gt;=F141)*$F$2:$F$151)/SUM($F$2:$F$151)</f>
        <v>0.941820451083742</v>
      </c>
      <c r="P141" s="6" t="str">
        <f aca="false">IF(O141&lt;=0.8,"A",IF(O141&lt;=0.95,"B","C"))</f>
        <v>B</v>
      </c>
      <c r="Q141" s="6" t="str">
        <f aca="false">IF(D141=0,"Yes","No")</f>
        <v>No</v>
      </c>
    </row>
    <row r="142" customFormat="false" ht="15" hidden="false" customHeight="true" outlineLevel="0" collapsed="false">
      <c r="A142" s="3" t="str">
        <f aca="false">'Raw Data'!A142</f>
        <v>SKU-1209</v>
      </c>
      <c r="B142" s="3" t="str">
        <f aca="false">'Raw Data'!B142</f>
        <v>Primecraft Belt A5</v>
      </c>
      <c r="C142" s="3" t="str">
        <f aca="false">'Raw Data'!C142</f>
        <v>Accessories</v>
      </c>
      <c r="D142" s="3" t="n">
        <f aca="false">SUM('Raw Data'!K142:P142)</f>
        <v>87</v>
      </c>
      <c r="E142" s="4" t="n">
        <f aca="false">D142/6</f>
        <v>14.5</v>
      </c>
      <c r="F142" s="5" t="n">
        <f aca="false">D142*'Raw Data'!G142</f>
        <v>2604780</v>
      </c>
      <c r="G142" s="5" t="n">
        <f aca="false">D142*'Raw Data'!F142</f>
        <v>1209300</v>
      </c>
      <c r="H142" s="5" t="n">
        <f aca="false">F142-G142</f>
        <v>1395480</v>
      </c>
      <c r="I142" s="3" t="n">
        <f aca="false">'Raw Data'!H142</f>
        <v>88</v>
      </c>
      <c r="J142" s="3" t="n">
        <f aca="false">'Raw Data'!I142</f>
        <v>21</v>
      </c>
      <c r="K142" s="4" t="n">
        <f aca="false">IF(I142=0,0,D142/I142)</f>
        <v>0.988636363636364</v>
      </c>
      <c r="L142" s="4" t="n">
        <f aca="false">IF(E142=0,999,I142/E142)</f>
        <v>6.06896551724138</v>
      </c>
      <c r="M142" s="6" t="str">
        <f aca="false">IF(D142=0,"Dead Stock",IF(I142&lt;=J142,"Reorder Needed",IF(L142&gt;6,"Overstocked","Healthy")))</f>
        <v>Overstocked</v>
      </c>
      <c r="N142" s="7" t="n">
        <f aca="false">F142/SUM($F$2:$F$151)</f>
        <v>0.0148366906293287</v>
      </c>
      <c r="O142" s="7" t="n">
        <f aca="false">SUMPRODUCT(($F$2:$F$151&gt;=F142)*$F$2:$F$151)/SUM($F$2:$F$151)</f>
        <v>0.411859509905851</v>
      </c>
      <c r="P142" s="6" t="str">
        <f aca="false">IF(O142&lt;=0.8,"A",IF(O142&lt;=0.95,"B","C"))</f>
        <v>A</v>
      </c>
      <c r="Q142" s="6" t="str">
        <f aca="false">IF(D142=0,"Yes","No")</f>
        <v>No</v>
      </c>
    </row>
    <row r="143" customFormat="false" ht="15" hidden="false" customHeight="true" outlineLevel="0" collapsed="false">
      <c r="A143" s="6" t="str">
        <f aca="false">'Raw Data'!A143</f>
        <v>SKU-1211</v>
      </c>
      <c r="B143" s="6" t="str">
        <f aca="false">'Raw Data'!B143</f>
        <v>Primecraft Belt A7</v>
      </c>
      <c r="C143" s="6" t="str">
        <f aca="false">'Raw Data'!C143</f>
        <v>Accessories</v>
      </c>
      <c r="D143" s="6" t="n">
        <f aca="false">SUM('Raw Data'!K143:P143)</f>
        <v>219</v>
      </c>
      <c r="E143" s="8" t="n">
        <f aca="false">D143/6</f>
        <v>36.5</v>
      </c>
      <c r="F143" s="9" t="n">
        <f aca="false">D143*'Raw Data'!G143</f>
        <v>1992900</v>
      </c>
      <c r="G143" s="9" t="n">
        <f aca="false">D143*'Raw Data'!F143</f>
        <v>935130</v>
      </c>
      <c r="H143" s="9" t="n">
        <f aca="false">F143-G143</f>
        <v>1057770</v>
      </c>
      <c r="I143" s="6" t="n">
        <f aca="false">'Raw Data'!H143</f>
        <v>18</v>
      </c>
      <c r="J143" s="6" t="n">
        <f aca="false">'Raw Data'!I143</f>
        <v>54</v>
      </c>
      <c r="K143" s="8" t="n">
        <f aca="false">IF(I143=0,0,D143/I143)</f>
        <v>12.1666666666667</v>
      </c>
      <c r="L143" s="8" t="n">
        <f aca="false">IF(E143=0,999,I143/E143)</f>
        <v>0.493150684931507</v>
      </c>
      <c r="M143" s="6" t="str">
        <f aca="false">IF(D143=0,"Dead Stock",IF(I143&lt;=J143,"Reorder Needed",IF(L143&gt;6,"Overstocked","Healthy")))</f>
        <v>Reorder Needed</v>
      </c>
      <c r="N143" s="10" t="n">
        <f aca="false">F143/SUM($F$2:$F$151)</f>
        <v>0.01135145415551</v>
      </c>
      <c r="O143" s="10" t="n">
        <f aca="false">SUMPRODUCT(($F$2:$F$151&gt;=F143)*$F$2:$F$151)/SUM($F$2:$F$151)</f>
        <v>0.500519783706639</v>
      </c>
      <c r="P143" s="6" t="str">
        <f aca="false">IF(O143&lt;=0.8,"A",IF(O143&lt;=0.95,"B","C"))</f>
        <v>A</v>
      </c>
      <c r="Q143" s="6" t="str">
        <f aca="false">IF(D143=0,"Yes","No")</f>
        <v>No</v>
      </c>
    </row>
    <row r="144" customFormat="false" ht="15" hidden="false" customHeight="true" outlineLevel="0" collapsed="false">
      <c r="A144" s="3" t="str">
        <f aca="false">'Raw Data'!A144</f>
        <v>SKU-1212</v>
      </c>
      <c r="B144" s="3" t="str">
        <f aca="false">'Raw Data'!B144</f>
        <v>Mela Belt F8</v>
      </c>
      <c r="C144" s="3" t="str">
        <f aca="false">'Raw Data'!C144</f>
        <v>Accessories</v>
      </c>
      <c r="D144" s="3" t="n">
        <f aca="false">SUM('Raw Data'!K144:P144)</f>
        <v>21</v>
      </c>
      <c r="E144" s="4" t="n">
        <f aca="false">D144/6</f>
        <v>3.5</v>
      </c>
      <c r="F144" s="5" t="n">
        <f aca="false">D144*'Raw Data'!G144</f>
        <v>346500</v>
      </c>
      <c r="G144" s="5" t="n">
        <f aca="false">D144*'Raw Data'!F144</f>
        <v>172830</v>
      </c>
      <c r="H144" s="5" t="n">
        <f aca="false">F144-G144</f>
        <v>173670</v>
      </c>
      <c r="I144" s="3" t="n">
        <f aca="false">'Raw Data'!H144</f>
        <v>33</v>
      </c>
      <c r="J144" s="3" t="n">
        <f aca="false">'Raw Data'!I144</f>
        <v>5</v>
      </c>
      <c r="K144" s="4" t="n">
        <f aca="false">IF(I144=0,0,D144/I144)</f>
        <v>0.636363636363636</v>
      </c>
      <c r="L144" s="4" t="n">
        <f aca="false">IF(E144=0,999,I144/E144)</f>
        <v>9.42857142857143</v>
      </c>
      <c r="M144" s="6" t="str">
        <f aca="false">IF(D144=0,"Dead Stock",IF(I144&lt;=J144,"Reorder Needed",IF(L144&gt;6,"Overstocked","Healthy")))</f>
        <v>Overstocked</v>
      </c>
      <c r="N144" s="7" t="n">
        <f aca="false">F144/SUM($F$2:$F$151)</f>
        <v>0.00197364587529941</v>
      </c>
      <c r="O144" s="7" t="n">
        <f aca="false">SUMPRODUCT(($F$2:$F$151&gt;=F144)*$F$2:$F$151)/SUM($F$2:$F$151)</f>
        <v>0.952949478481877</v>
      </c>
      <c r="P144" s="6" t="str">
        <f aca="false">IF(O144&lt;=0.8,"A",IF(O144&lt;=0.95,"B","C"))</f>
        <v>C</v>
      </c>
      <c r="Q144" s="6" t="str">
        <f aca="false">IF(D144=0,"Yes","No")</f>
        <v>No</v>
      </c>
    </row>
    <row r="145" customFormat="false" ht="15" hidden="false" customHeight="true" outlineLevel="0" collapsed="false">
      <c r="A145" s="6" t="str">
        <f aca="false">'Raw Data'!A145</f>
        <v>SKU-1214</v>
      </c>
      <c r="B145" s="6" t="str">
        <f aca="false">'Raw Data'!B145</f>
        <v>Lagoona Belt D10</v>
      </c>
      <c r="C145" s="6" t="str">
        <f aca="false">'Raw Data'!C145</f>
        <v>Accessories</v>
      </c>
      <c r="D145" s="6" t="n">
        <f aca="false">SUM('Raw Data'!K145:P145)</f>
        <v>30</v>
      </c>
      <c r="E145" s="8" t="n">
        <f aca="false">D145/6</f>
        <v>5</v>
      </c>
      <c r="F145" s="9" t="n">
        <f aca="false">D145*'Raw Data'!G145</f>
        <v>442200</v>
      </c>
      <c r="G145" s="9" t="n">
        <f aca="false">D145*'Raw Data'!F145</f>
        <v>339600</v>
      </c>
      <c r="H145" s="9" t="n">
        <f aca="false">F145-G145</f>
        <v>102600</v>
      </c>
      <c r="I145" s="6" t="n">
        <f aca="false">'Raw Data'!H145</f>
        <v>34</v>
      </c>
      <c r="J145" s="6" t="n">
        <f aca="false">'Raw Data'!I145</f>
        <v>7</v>
      </c>
      <c r="K145" s="8" t="n">
        <f aca="false">IF(I145=0,0,D145/I145)</f>
        <v>0.882352941176471</v>
      </c>
      <c r="L145" s="8" t="n">
        <f aca="false">IF(E145=0,999,I145/E145)</f>
        <v>6.8</v>
      </c>
      <c r="M145" s="6" t="str">
        <f aca="false">IF(D145=0,"Dead Stock",IF(I145&lt;=J145,"Reorder Needed",IF(L145&gt;6,"Overstocked","Healthy")))</f>
        <v>Overstocked</v>
      </c>
      <c r="N145" s="10" t="n">
        <f aca="false">F145/SUM($F$2:$F$151)</f>
        <v>0.00251874806942973</v>
      </c>
      <c r="O145" s="10" t="n">
        <f aca="false">SUMPRODUCT(($F$2:$F$151&gt;=F145)*$F$2:$F$151)/SUM($F$2:$F$151)</f>
        <v>0.937046449485118</v>
      </c>
      <c r="P145" s="6" t="str">
        <f aca="false">IF(O145&lt;=0.8,"A",IF(O145&lt;=0.95,"B","C"))</f>
        <v>B</v>
      </c>
      <c r="Q145" s="6" t="str">
        <f aca="false">IF(D145=0,"Yes","No")</f>
        <v>No</v>
      </c>
    </row>
    <row r="146" customFormat="false" ht="15" hidden="false" customHeight="true" outlineLevel="0" collapsed="false">
      <c r="A146" s="3" t="str">
        <f aca="false">'Raw Data'!A146</f>
        <v>SKU-1215</v>
      </c>
      <c r="B146" s="3" t="str">
        <f aca="false">'Raw Data'!B146</f>
        <v>Coastline Wristwatch D1</v>
      </c>
      <c r="C146" s="3" t="str">
        <f aca="false">'Raw Data'!C146</f>
        <v>Accessories</v>
      </c>
      <c r="D146" s="3" t="n">
        <f aca="false">SUM('Raw Data'!K146:P146)</f>
        <v>95</v>
      </c>
      <c r="E146" s="4" t="n">
        <f aca="false">D146/6</f>
        <v>15.8333333333333</v>
      </c>
      <c r="F146" s="5" t="n">
        <f aca="false">D146*'Raw Data'!G146</f>
        <v>1241650</v>
      </c>
      <c r="G146" s="5" t="n">
        <f aca="false">D146*'Raw Data'!F146</f>
        <v>637450</v>
      </c>
      <c r="H146" s="5" t="n">
        <f aca="false">F146-G146</f>
        <v>604200</v>
      </c>
      <c r="I146" s="3" t="n">
        <f aca="false">'Raw Data'!H146</f>
        <v>25</v>
      </c>
      <c r="J146" s="3" t="n">
        <f aca="false">'Raw Data'!I146</f>
        <v>23</v>
      </c>
      <c r="K146" s="4" t="n">
        <f aca="false">IF(I146=0,0,D146/I146)</f>
        <v>3.8</v>
      </c>
      <c r="L146" s="4" t="n">
        <f aca="false">IF(E146=0,999,I146/E146)</f>
        <v>1.57894736842105</v>
      </c>
      <c r="M146" s="6" t="str">
        <f aca="false">IF(D146=0,"Dead Stock",IF(I146&lt;=J146,"Reorder Needed",IF(L146&gt;6,"Overstocked","Healthy")))</f>
        <v>Healthy</v>
      </c>
      <c r="N146" s="7" t="n">
        <f aca="false">F146/SUM($F$2:$F$151)</f>
        <v>0.00707237345184854</v>
      </c>
      <c r="O146" s="7" t="n">
        <f aca="false">SUMPRODUCT(($F$2:$F$151&gt;=F146)*$F$2:$F$151)/SUM($F$2:$F$151)</f>
        <v>0.747020464002152</v>
      </c>
      <c r="P146" s="6" t="str">
        <f aca="false">IF(O146&lt;=0.8,"A",IF(O146&lt;=0.95,"B","C"))</f>
        <v>A</v>
      </c>
      <c r="Q146" s="6" t="str">
        <f aca="false">IF(D146=0,"Yes","No")</f>
        <v>No</v>
      </c>
    </row>
    <row r="147" customFormat="false" ht="15" hidden="false" customHeight="true" outlineLevel="0" collapsed="false">
      <c r="A147" s="6" t="str">
        <f aca="false">'Raw Data'!A147</f>
        <v>SKU-1216</v>
      </c>
      <c r="B147" s="6" t="str">
        <f aca="false">'Raw Data'!B147</f>
        <v>Mela Wristwatch E2</v>
      </c>
      <c r="C147" s="6" t="str">
        <f aca="false">'Raw Data'!C147</f>
        <v>Accessories</v>
      </c>
      <c r="D147" s="6" t="n">
        <f aca="false">SUM('Raw Data'!K147:P147)</f>
        <v>236</v>
      </c>
      <c r="E147" s="8" t="n">
        <f aca="false">D147/6</f>
        <v>39.3333333333333</v>
      </c>
      <c r="F147" s="9" t="n">
        <f aca="false">D147*'Raw Data'!G147</f>
        <v>4391960</v>
      </c>
      <c r="G147" s="9" t="n">
        <f aca="false">D147*'Raw Data'!F147</f>
        <v>2780080</v>
      </c>
      <c r="H147" s="9" t="n">
        <f aca="false">F147-G147</f>
        <v>1611880</v>
      </c>
      <c r="I147" s="6" t="n">
        <f aca="false">'Raw Data'!H147</f>
        <v>33</v>
      </c>
      <c r="J147" s="6" t="n">
        <f aca="false">'Raw Data'!I147</f>
        <v>59</v>
      </c>
      <c r="K147" s="8" t="n">
        <f aca="false">IF(I147=0,0,D147/I147)</f>
        <v>7.15151515151515</v>
      </c>
      <c r="L147" s="8" t="n">
        <f aca="false">IF(E147=0,999,I147/E147)</f>
        <v>0.838983050847458</v>
      </c>
      <c r="M147" s="6" t="str">
        <f aca="false">IF(D147=0,"Dead Stock",IF(I147&lt;=J147,"Reorder Needed",IF(L147&gt;6,"Overstocked","Healthy")))</f>
        <v>Reorder Needed</v>
      </c>
      <c r="N147" s="10" t="n">
        <f aca="false">F147/SUM($F$2:$F$151)</f>
        <v>0.0250163744256278</v>
      </c>
      <c r="O147" s="10" t="n">
        <f aca="false">SUMPRODUCT(($F$2:$F$151&gt;=F147)*$F$2:$F$151)/SUM($F$2:$F$151)</f>
        <v>0.161198224618672</v>
      </c>
      <c r="P147" s="6" t="str">
        <f aca="false">IF(O147&lt;=0.8,"A",IF(O147&lt;=0.95,"B","C"))</f>
        <v>A</v>
      </c>
      <c r="Q147" s="6" t="str">
        <f aca="false">IF(D147=0,"Yes","No")</f>
        <v>No</v>
      </c>
    </row>
    <row r="148" customFormat="false" ht="15" hidden="false" customHeight="true" outlineLevel="0" collapsed="false">
      <c r="A148" s="3" t="str">
        <f aca="false">'Raw Data'!A148</f>
        <v>SKU-1217</v>
      </c>
      <c r="B148" s="3" t="str">
        <f aca="false">'Raw Data'!B148</f>
        <v>Primecraft Wristwatch I3</v>
      </c>
      <c r="C148" s="3" t="str">
        <f aca="false">'Raw Data'!C148</f>
        <v>Accessories</v>
      </c>
      <c r="D148" s="3" t="n">
        <f aca="false">SUM('Raw Data'!K148:P148)</f>
        <v>241</v>
      </c>
      <c r="E148" s="4" t="n">
        <f aca="false">D148/6</f>
        <v>40.1666666666667</v>
      </c>
      <c r="F148" s="5" t="n">
        <f aca="false">D148*'Raw Data'!G148</f>
        <v>4251240</v>
      </c>
      <c r="G148" s="5" t="n">
        <f aca="false">D148*'Raw Data'!F148</f>
        <v>2795600</v>
      </c>
      <c r="H148" s="5" t="n">
        <f aca="false">F148-G148</f>
        <v>1455640</v>
      </c>
      <c r="I148" s="3" t="n">
        <f aca="false">'Raw Data'!H148</f>
        <v>10</v>
      </c>
      <c r="J148" s="3" t="n">
        <f aca="false">'Raw Data'!I148</f>
        <v>60</v>
      </c>
      <c r="K148" s="4" t="n">
        <f aca="false">IF(I148=0,0,D148/I148)</f>
        <v>24.1</v>
      </c>
      <c r="L148" s="4" t="n">
        <f aca="false">IF(E148=0,999,I148/E148)</f>
        <v>0.24896265560166</v>
      </c>
      <c r="M148" s="6" t="str">
        <f aca="false">IF(D148=0,"Dead Stock",IF(I148&lt;=J148,"Reorder Needed",IF(L148&gt;6,"Overstocked","Healthy")))</f>
        <v>Reorder Needed</v>
      </c>
      <c r="N148" s="7" t="n">
        <f aca="false">F148/SUM($F$2:$F$151)</f>
        <v>0.0242148406664008</v>
      </c>
      <c r="O148" s="7" t="n">
        <f aca="false">SUMPRODUCT(($F$2:$F$151&gt;=F148)*$F$2:$F$151)/SUM($F$2:$F$151)</f>
        <v>0.185413065285073</v>
      </c>
      <c r="P148" s="6" t="str">
        <f aca="false">IF(O148&lt;=0.8,"A",IF(O148&lt;=0.95,"B","C"))</f>
        <v>A</v>
      </c>
      <c r="Q148" s="6" t="str">
        <f aca="false">IF(D148=0,"Yes","No")</f>
        <v>No</v>
      </c>
    </row>
    <row r="149" customFormat="false" ht="15" hidden="false" customHeight="true" outlineLevel="0" collapsed="false">
      <c r="A149" s="6" t="str">
        <f aca="false">'Raw Data'!A149</f>
        <v>SKU-1218</v>
      </c>
      <c r="B149" s="6" t="str">
        <f aca="false">'Raw Data'!B149</f>
        <v>Lagoona Wristwatch D4</v>
      </c>
      <c r="C149" s="6" t="str">
        <f aca="false">'Raw Data'!C149</f>
        <v>Accessories</v>
      </c>
      <c r="D149" s="6" t="n">
        <f aca="false">SUM('Raw Data'!K149:P149)</f>
        <v>110</v>
      </c>
      <c r="E149" s="8" t="n">
        <f aca="false">D149/6</f>
        <v>18.3333333333333</v>
      </c>
      <c r="F149" s="9" t="n">
        <f aca="false">D149*'Raw Data'!G149</f>
        <v>1386000</v>
      </c>
      <c r="G149" s="9" t="n">
        <f aca="false">D149*'Raw Data'!F149</f>
        <v>915200</v>
      </c>
      <c r="H149" s="9" t="n">
        <f aca="false">F149-G149</f>
        <v>470800</v>
      </c>
      <c r="I149" s="6" t="n">
        <f aca="false">'Raw Data'!H149</f>
        <v>86</v>
      </c>
      <c r="J149" s="6" t="n">
        <f aca="false">'Raw Data'!I149</f>
        <v>27</v>
      </c>
      <c r="K149" s="8" t="n">
        <f aca="false">IF(I149=0,0,D149/I149)</f>
        <v>1.27906976744186</v>
      </c>
      <c r="L149" s="8" t="n">
        <f aca="false">IF(E149=0,999,I149/E149)</f>
        <v>4.69090909090909</v>
      </c>
      <c r="M149" s="6" t="str">
        <f aca="false">IF(D149=0,"Dead Stock",IF(I149&lt;=J149,"Reorder Needed",IF(L149&gt;6,"Overstocked","Healthy")))</f>
        <v>Healthy</v>
      </c>
      <c r="N149" s="10" t="n">
        <f aca="false">F149/SUM($F$2:$F$151)</f>
        <v>0.00789458350119766</v>
      </c>
      <c r="O149" s="10" t="n">
        <f aca="false">SUMPRODUCT(($F$2:$F$151&gt;=F149)*$F$2:$F$151)/SUM($F$2:$F$151)</f>
        <v>0.695643585414523</v>
      </c>
      <c r="P149" s="6" t="str">
        <f aca="false">IF(O149&lt;=0.8,"A",IF(O149&lt;=0.95,"B","C"))</f>
        <v>A</v>
      </c>
      <c r="Q149" s="6" t="str">
        <f aca="false">IF(D149=0,"Yes","No")</f>
        <v>No</v>
      </c>
    </row>
    <row r="150" customFormat="false" ht="15" hidden="false" customHeight="true" outlineLevel="0" collapsed="false">
      <c r="A150" s="3" t="str">
        <f aca="false">'Raw Data'!A150</f>
        <v>SKU-1221</v>
      </c>
      <c r="B150" s="3" t="str">
        <f aca="false">'Raw Data'!B150</f>
        <v>Mela Wristwatch E7</v>
      </c>
      <c r="C150" s="3" t="str">
        <f aca="false">'Raw Data'!C150</f>
        <v>Accessories</v>
      </c>
      <c r="D150" s="3" t="n">
        <f aca="false">SUM('Raw Data'!K150:P150)</f>
        <v>238</v>
      </c>
      <c r="E150" s="4" t="n">
        <f aca="false">D150/6</f>
        <v>39.6666666666667</v>
      </c>
      <c r="F150" s="5" t="n">
        <f aca="false">D150*'Raw Data'!G150</f>
        <v>3631880</v>
      </c>
      <c r="G150" s="5" t="n">
        <f aca="false">D150*'Raw Data'!F150</f>
        <v>1756440</v>
      </c>
      <c r="H150" s="5" t="n">
        <f aca="false">F150-G150</f>
        <v>1875440</v>
      </c>
      <c r="I150" s="3" t="n">
        <f aca="false">'Raw Data'!H150</f>
        <v>19</v>
      </c>
      <c r="J150" s="3" t="n">
        <f aca="false">'Raw Data'!I150</f>
        <v>59</v>
      </c>
      <c r="K150" s="4" t="n">
        <f aca="false">IF(I150=0,0,D150/I150)</f>
        <v>12.5263157894737</v>
      </c>
      <c r="L150" s="4" t="n">
        <f aca="false">IF(E150=0,999,I150/E150)</f>
        <v>0.478991596638656</v>
      </c>
      <c r="M150" s="6" t="str">
        <f aca="false">IF(D150=0,"Dead Stock",IF(I150&lt;=J150,"Reorder Needed",IF(L150&gt;6,"Overstocked","Healthy")))</f>
        <v>Reorder Needed</v>
      </c>
      <c r="N150" s="7" t="n">
        <f aca="false">F150/SUM($F$2:$F$151)</f>
        <v>0.0206869985038454</v>
      </c>
      <c r="O150" s="7" t="n">
        <f aca="false">SUMPRODUCT(($F$2:$F$151&gt;=F150)*$F$2:$F$151)/SUM($F$2:$F$151)</f>
        <v>0.275917402151166</v>
      </c>
      <c r="P150" s="6" t="str">
        <f aca="false">IF(O150&lt;=0.8,"A",IF(O150&lt;=0.95,"B","C"))</f>
        <v>A</v>
      </c>
      <c r="Q150" s="6" t="str">
        <f aca="false">IF(D150=0,"Yes","No")</f>
        <v>No</v>
      </c>
    </row>
    <row r="151" customFormat="false" ht="15" hidden="false" customHeight="true" outlineLevel="0" collapsed="false">
      <c r="A151" s="6" t="str">
        <f aca="false">'Raw Data'!A151</f>
        <v>SKU-1222</v>
      </c>
      <c r="B151" s="6" t="str">
        <f aca="false">'Raw Data'!B151</f>
        <v>Coastline Wristwatch G8</v>
      </c>
      <c r="C151" s="6" t="str">
        <f aca="false">'Raw Data'!C151</f>
        <v>Accessories</v>
      </c>
      <c r="D151" s="6" t="n">
        <f aca="false">SUM('Raw Data'!K151:P151)</f>
        <v>83</v>
      </c>
      <c r="E151" s="8" t="n">
        <f aca="false">D151/6</f>
        <v>13.8333333333333</v>
      </c>
      <c r="F151" s="9" t="n">
        <f aca="false">D151*'Raw Data'!G151</f>
        <v>1282350</v>
      </c>
      <c r="G151" s="9" t="n">
        <f aca="false">D151*'Raw Data'!F151</f>
        <v>671470</v>
      </c>
      <c r="H151" s="9" t="n">
        <f aca="false">F151-G151</f>
        <v>610880</v>
      </c>
      <c r="I151" s="6" t="n">
        <f aca="false">'Raw Data'!H151</f>
        <v>79</v>
      </c>
      <c r="J151" s="6" t="n">
        <f aca="false">'Raw Data'!I151</f>
        <v>20</v>
      </c>
      <c r="K151" s="8" t="n">
        <f aca="false">IF(I151=0,0,D151/I151)</f>
        <v>1.05063291139241</v>
      </c>
      <c r="L151" s="8" t="n">
        <f aca="false">IF(E151=0,999,I151/E151)</f>
        <v>5.71084337349398</v>
      </c>
      <c r="M151" s="6" t="str">
        <f aca="false">IF(D151=0,"Dead Stock",IF(I151&lt;=J151,"Reorder Needed",IF(L151&gt;6,"Overstocked","Healthy")))</f>
        <v>Healthy</v>
      </c>
      <c r="N151" s="10" t="n">
        <f aca="false">F151/SUM($F$2:$F$151)</f>
        <v>0.00730419852291545</v>
      </c>
      <c r="O151" s="10" t="n">
        <f aca="false">SUMPRODUCT(($F$2:$F$151&gt;=F151)*$F$2:$F$151)/SUM($F$2:$F$151)</f>
        <v>0.718131357781214</v>
      </c>
      <c r="P151" s="6" t="str">
        <f aca="false">IF(O151&lt;=0.8,"A",IF(O151&lt;=0.95,"B","C"))</f>
        <v>A</v>
      </c>
      <c r="Q151" s="6" t="str">
        <f aca="false">IF(D151=0,"Yes","No")</f>
        <v>No</v>
      </c>
    </row>
  </sheetData>
  <conditionalFormatting sqref="M2:M151">
    <cfRule type="expression" priority="2" aboveAverage="0" equalAverage="0" bottom="0" percent="0" rank="0" text="" dxfId="0">
      <formula>M2="Reorder Needed"</formula>
    </cfRule>
    <cfRule type="expression" priority="3" aboveAverage="0" equalAverage="0" bottom="0" percent="0" rank="0" text="" dxfId="1">
      <formula>M2="Overstocked"</formula>
    </cfRule>
    <cfRule type="expression" priority="4" aboveAverage="0" equalAverage="0" bottom="0" percent="0" rank="0" text="" dxfId="2">
      <formula>M2="Healthy"</formula>
    </cfRule>
    <cfRule type="expression" priority="5" aboveAverage="0" equalAverage="0" bottom="0" percent="0" rank="0" text="" dxfId="3">
      <formula>M2="Dead Stock"</formula>
    </cfRule>
  </conditionalFormatting>
  <conditionalFormatting sqref="P2:P151">
    <cfRule type="expression" priority="6" aboveAverage="0" equalAverage="0" bottom="0" percent="0" rank="0" text="" dxfId="2">
      <formula>P2="A"</formula>
    </cfRule>
    <cfRule type="expression" priority="7" aboveAverage="0" equalAverage="0" bottom="0" percent="0" rank="0" text="" dxfId="1">
      <formula>P2="B"</formula>
    </cfRule>
    <cfRule type="expression" priority="8" aboveAverage="0" equalAverage="0" bottom="0" percent="0" rank="0" text="" dxfId="0">
      <formula>P2="C"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8" min="7" style="1" width="16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6" min="11" style="1" width="9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customFormat="false" ht="15" hidden="false" customHeight="true" outlineLevel="0" collapsed="false">
      <c r="A2" s="11" t="s">
        <v>30</v>
      </c>
      <c r="B2" s="11" t="s">
        <v>31</v>
      </c>
      <c r="C2" s="11" t="s">
        <v>32</v>
      </c>
      <c r="D2" s="11" t="s">
        <v>33</v>
      </c>
      <c r="E2" s="11" t="s">
        <v>34</v>
      </c>
      <c r="F2" s="12" t="n">
        <v>11330</v>
      </c>
      <c r="G2" s="12" t="n">
        <v>17230</v>
      </c>
      <c r="H2" s="11" t="n">
        <v>24</v>
      </c>
      <c r="I2" s="11" t="n">
        <v>61</v>
      </c>
      <c r="J2" s="11" t="n">
        <v>21</v>
      </c>
      <c r="K2" s="11" t="n">
        <v>50</v>
      </c>
      <c r="L2" s="11" t="n">
        <v>47</v>
      </c>
      <c r="M2" s="11" t="n">
        <v>29</v>
      </c>
      <c r="N2" s="11" t="n">
        <v>36</v>
      </c>
      <c r="O2" s="11" t="n">
        <v>43</v>
      </c>
      <c r="P2" s="11" t="n">
        <v>40</v>
      </c>
    </row>
    <row r="3" customFormat="false" ht="15" hidden="false" customHeight="true" outlineLevel="0" collapsed="false">
      <c r="A3" s="13" t="s">
        <v>35</v>
      </c>
      <c r="B3" s="13" t="s">
        <v>36</v>
      </c>
      <c r="C3" s="13" t="s">
        <v>32</v>
      </c>
      <c r="D3" s="13" t="s">
        <v>37</v>
      </c>
      <c r="E3" s="13" t="s">
        <v>38</v>
      </c>
      <c r="F3" s="14" t="n">
        <v>2250</v>
      </c>
      <c r="G3" s="14" t="n">
        <v>3690</v>
      </c>
      <c r="H3" s="13" t="n">
        <v>30</v>
      </c>
      <c r="I3" s="13" t="n">
        <v>27</v>
      </c>
      <c r="J3" s="13" t="n">
        <v>21</v>
      </c>
      <c r="K3" s="13" t="n">
        <v>12</v>
      </c>
      <c r="L3" s="13" t="n">
        <v>18</v>
      </c>
      <c r="M3" s="13" t="n">
        <v>20</v>
      </c>
      <c r="N3" s="13" t="n">
        <v>16</v>
      </c>
      <c r="O3" s="13" t="n">
        <v>23</v>
      </c>
      <c r="P3" s="13" t="n">
        <v>22</v>
      </c>
    </row>
    <row r="4" customFormat="false" ht="15" hidden="false" customHeight="true" outlineLevel="0" collapsed="false">
      <c r="A4" s="11" t="s">
        <v>39</v>
      </c>
      <c r="B4" s="11" t="s">
        <v>40</v>
      </c>
      <c r="C4" s="11" t="s">
        <v>32</v>
      </c>
      <c r="D4" s="11" t="s">
        <v>41</v>
      </c>
      <c r="E4" s="11" t="s">
        <v>42</v>
      </c>
      <c r="F4" s="12" t="n">
        <v>9000</v>
      </c>
      <c r="G4" s="12" t="n">
        <v>17410</v>
      </c>
      <c r="H4" s="11" t="n">
        <v>50</v>
      </c>
      <c r="I4" s="11" t="n">
        <v>65</v>
      </c>
      <c r="J4" s="11" t="n">
        <v>10</v>
      </c>
      <c r="K4" s="11" t="n">
        <v>40</v>
      </c>
      <c r="L4" s="11" t="n">
        <v>46</v>
      </c>
      <c r="M4" s="11" t="n">
        <v>45</v>
      </c>
      <c r="N4" s="11" t="n">
        <v>42</v>
      </c>
      <c r="O4" s="11" t="n">
        <v>45</v>
      </c>
      <c r="P4" s="11" t="n">
        <v>43</v>
      </c>
    </row>
    <row r="5" customFormat="false" ht="15" hidden="false" customHeight="true" outlineLevel="0" collapsed="false">
      <c r="A5" s="13" t="s">
        <v>43</v>
      </c>
      <c r="B5" s="13" t="s">
        <v>44</v>
      </c>
      <c r="C5" s="13" t="s">
        <v>32</v>
      </c>
      <c r="D5" s="13" t="s">
        <v>45</v>
      </c>
      <c r="E5" s="13" t="s">
        <v>34</v>
      </c>
      <c r="F5" s="14" t="n">
        <v>3770</v>
      </c>
      <c r="G5" s="14" t="n">
        <v>5810</v>
      </c>
      <c r="H5" s="13" t="n">
        <v>117</v>
      </c>
      <c r="I5" s="13" t="n">
        <v>5</v>
      </c>
      <c r="J5" s="13" t="n">
        <v>7</v>
      </c>
      <c r="K5" s="13" t="n">
        <v>0</v>
      </c>
      <c r="L5" s="13" t="n">
        <v>0</v>
      </c>
      <c r="M5" s="13" t="n">
        <v>1</v>
      </c>
      <c r="N5" s="13" t="n">
        <v>0</v>
      </c>
      <c r="O5" s="13" t="n">
        <v>0</v>
      </c>
      <c r="P5" s="13" t="n">
        <v>0</v>
      </c>
    </row>
    <row r="6" customFormat="false" ht="15" hidden="false" customHeight="true" outlineLevel="0" collapsed="false">
      <c r="A6" s="11" t="s">
        <v>46</v>
      </c>
      <c r="B6" s="11" t="s">
        <v>47</v>
      </c>
      <c r="C6" s="11" t="s">
        <v>32</v>
      </c>
      <c r="D6" s="11" t="s">
        <v>37</v>
      </c>
      <c r="E6" s="11" t="s">
        <v>48</v>
      </c>
      <c r="F6" s="12" t="n">
        <v>7360</v>
      </c>
      <c r="G6" s="12" t="n">
        <v>11360</v>
      </c>
      <c r="H6" s="11" t="n">
        <v>127</v>
      </c>
      <c r="I6" s="11" t="n">
        <v>5</v>
      </c>
      <c r="J6" s="11" t="n">
        <v>10</v>
      </c>
      <c r="K6" s="11" t="n">
        <v>0</v>
      </c>
      <c r="L6" s="11" t="n">
        <v>0</v>
      </c>
      <c r="M6" s="11" t="n">
        <v>1</v>
      </c>
      <c r="N6" s="11" t="n">
        <v>0</v>
      </c>
      <c r="O6" s="11" t="n">
        <v>0</v>
      </c>
      <c r="P6" s="11" t="n">
        <v>0</v>
      </c>
    </row>
    <row r="7" customFormat="false" ht="15" hidden="false" customHeight="true" outlineLevel="0" collapsed="false">
      <c r="A7" s="13" t="s">
        <v>49</v>
      </c>
      <c r="B7" s="13" t="s">
        <v>50</v>
      </c>
      <c r="C7" s="13" t="s">
        <v>32</v>
      </c>
      <c r="D7" s="13" t="s">
        <v>51</v>
      </c>
      <c r="E7" s="13" t="s">
        <v>34</v>
      </c>
      <c r="F7" s="14" t="n">
        <v>2380</v>
      </c>
      <c r="G7" s="14" t="n">
        <v>4030</v>
      </c>
      <c r="H7" s="13" t="n">
        <v>100</v>
      </c>
      <c r="I7" s="13" t="n">
        <v>28</v>
      </c>
      <c r="J7" s="13" t="n">
        <v>10</v>
      </c>
      <c r="K7" s="13" t="n">
        <v>24</v>
      </c>
      <c r="L7" s="13" t="n">
        <v>12</v>
      </c>
      <c r="M7" s="13" t="n">
        <v>14</v>
      </c>
      <c r="N7" s="13" t="n">
        <v>20</v>
      </c>
      <c r="O7" s="13" t="n">
        <v>19</v>
      </c>
      <c r="P7" s="13" t="n">
        <v>24</v>
      </c>
    </row>
    <row r="8" customFormat="false" ht="15" hidden="false" customHeight="true" outlineLevel="0" collapsed="false">
      <c r="A8" s="11" t="s">
        <v>52</v>
      </c>
      <c r="B8" s="11" t="s">
        <v>53</v>
      </c>
      <c r="C8" s="11" t="s">
        <v>32</v>
      </c>
      <c r="D8" s="11" t="s">
        <v>37</v>
      </c>
      <c r="E8" s="11" t="s">
        <v>54</v>
      </c>
      <c r="F8" s="12" t="n">
        <v>6110</v>
      </c>
      <c r="G8" s="12" t="n">
        <v>8830</v>
      </c>
      <c r="H8" s="11" t="n">
        <v>116</v>
      </c>
      <c r="I8" s="11" t="n">
        <v>5</v>
      </c>
      <c r="J8" s="11" t="n">
        <v>10</v>
      </c>
      <c r="K8" s="11" t="n">
        <v>0</v>
      </c>
      <c r="L8" s="11" t="n">
        <v>0</v>
      </c>
      <c r="M8" s="11" t="n">
        <v>1</v>
      </c>
      <c r="N8" s="11" t="n">
        <v>0</v>
      </c>
      <c r="O8" s="11" t="n">
        <v>0</v>
      </c>
      <c r="P8" s="11" t="n">
        <v>0</v>
      </c>
    </row>
    <row r="9" customFormat="false" ht="15" hidden="false" customHeight="true" outlineLevel="0" collapsed="false">
      <c r="A9" s="13" t="s">
        <v>55</v>
      </c>
      <c r="B9" s="13" t="s">
        <v>56</v>
      </c>
      <c r="C9" s="13" t="s">
        <v>32</v>
      </c>
      <c r="D9" s="13" t="s">
        <v>57</v>
      </c>
      <c r="E9" s="13" t="s">
        <v>54</v>
      </c>
      <c r="F9" s="14" t="n">
        <v>14250</v>
      </c>
      <c r="G9" s="14" t="n">
        <v>20640</v>
      </c>
      <c r="H9" s="13" t="n">
        <v>71</v>
      </c>
      <c r="I9" s="13" t="n">
        <v>15</v>
      </c>
      <c r="J9" s="13" t="n">
        <v>10</v>
      </c>
      <c r="K9" s="13" t="n">
        <v>4</v>
      </c>
      <c r="L9" s="13" t="n">
        <v>6</v>
      </c>
      <c r="M9" s="13" t="n">
        <v>22</v>
      </c>
      <c r="N9" s="13" t="n">
        <v>11</v>
      </c>
      <c r="O9" s="13" t="n">
        <v>12</v>
      </c>
      <c r="P9" s="13" t="n">
        <v>7</v>
      </c>
    </row>
    <row r="10" customFormat="false" ht="15" hidden="false" customHeight="true" outlineLevel="0" collapsed="false">
      <c r="A10" s="11" t="s">
        <v>58</v>
      </c>
      <c r="B10" s="11" t="s">
        <v>59</v>
      </c>
      <c r="C10" s="11" t="s">
        <v>32</v>
      </c>
      <c r="D10" s="11" t="s">
        <v>60</v>
      </c>
      <c r="E10" s="11" t="s">
        <v>48</v>
      </c>
      <c r="F10" s="12" t="n">
        <v>2520</v>
      </c>
      <c r="G10" s="12" t="n">
        <v>3790</v>
      </c>
      <c r="H10" s="11" t="n">
        <v>24</v>
      </c>
      <c r="I10" s="11" t="n">
        <v>19</v>
      </c>
      <c r="J10" s="11" t="n">
        <v>10</v>
      </c>
      <c r="K10" s="11" t="n">
        <v>11</v>
      </c>
      <c r="L10" s="11" t="n">
        <v>13</v>
      </c>
      <c r="M10" s="11" t="n">
        <v>15</v>
      </c>
      <c r="N10" s="11" t="n">
        <v>16</v>
      </c>
      <c r="O10" s="11" t="n">
        <v>12</v>
      </c>
      <c r="P10" s="11" t="n">
        <v>12</v>
      </c>
    </row>
    <row r="11" customFormat="false" ht="15" hidden="false" customHeight="true" outlineLevel="0" collapsed="false">
      <c r="A11" s="13" t="s">
        <v>61</v>
      </c>
      <c r="B11" s="13" t="s">
        <v>62</v>
      </c>
      <c r="C11" s="13" t="s">
        <v>32</v>
      </c>
      <c r="D11" s="13" t="s">
        <v>60</v>
      </c>
      <c r="E11" s="13" t="s">
        <v>54</v>
      </c>
      <c r="F11" s="14" t="n">
        <v>4750</v>
      </c>
      <c r="G11" s="14" t="n">
        <v>8250</v>
      </c>
      <c r="H11" s="13" t="n">
        <v>32</v>
      </c>
      <c r="I11" s="13" t="n">
        <v>16</v>
      </c>
      <c r="J11" s="13" t="n">
        <v>5</v>
      </c>
      <c r="K11" s="13" t="n">
        <v>13</v>
      </c>
      <c r="L11" s="13" t="n">
        <v>4</v>
      </c>
      <c r="M11" s="13" t="n">
        <v>11</v>
      </c>
      <c r="N11" s="13" t="n">
        <v>13</v>
      </c>
      <c r="O11" s="13" t="n">
        <v>9</v>
      </c>
      <c r="P11" s="13" t="n">
        <v>15</v>
      </c>
    </row>
    <row r="12" customFormat="false" ht="15" hidden="false" customHeight="true" outlineLevel="0" collapsed="false">
      <c r="A12" s="11" t="s">
        <v>63</v>
      </c>
      <c r="B12" s="11" t="s">
        <v>64</v>
      </c>
      <c r="C12" s="11" t="s">
        <v>32</v>
      </c>
      <c r="D12" s="11" t="s">
        <v>45</v>
      </c>
      <c r="E12" s="11" t="s">
        <v>34</v>
      </c>
      <c r="F12" s="12" t="n">
        <v>6640</v>
      </c>
      <c r="G12" s="12" t="n">
        <v>13790</v>
      </c>
      <c r="H12" s="11" t="n">
        <v>22</v>
      </c>
      <c r="I12" s="11" t="n">
        <v>58</v>
      </c>
      <c r="J12" s="11" t="n">
        <v>7</v>
      </c>
      <c r="K12" s="11" t="n">
        <v>33</v>
      </c>
      <c r="L12" s="11" t="n">
        <v>30</v>
      </c>
      <c r="M12" s="11" t="n">
        <v>51</v>
      </c>
      <c r="N12" s="11" t="n">
        <v>44</v>
      </c>
      <c r="O12" s="11" t="n">
        <v>41</v>
      </c>
      <c r="P12" s="11" t="n">
        <v>36</v>
      </c>
    </row>
    <row r="13" customFormat="false" ht="15" hidden="false" customHeight="true" outlineLevel="0" collapsed="false">
      <c r="A13" s="13" t="s">
        <v>65</v>
      </c>
      <c r="B13" s="13" t="s">
        <v>66</v>
      </c>
      <c r="C13" s="13" t="s">
        <v>32</v>
      </c>
      <c r="D13" s="13" t="s">
        <v>67</v>
      </c>
      <c r="E13" s="13" t="s">
        <v>42</v>
      </c>
      <c r="F13" s="14" t="n">
        <v>6790</v>
      </c>
      <c r="G13" s="14" t="n">
        <v>10530</v>
      </c>
      <c r="H13" s="13" t="n">
        <v>21</v>
      </c>
      <c r="I13" s="13" t="n">
        <v>28</v>
      </c>
      <c r="J13" s="13" t="n">
        <v>5</v>
      </c>
      <c r="K13" s="13" t="n">
        <v>19</v>
      </c>
      <c r="L13" s="13" t="n">
        <v>12</v>
      </c>
      <c r="M13" s="13" t="n">
        <v>19</v>
      </c>
      <c r="N13" s="13" t="n">
        <v>10</v>
      </c>
      <c r="O13" s="13" t="n">
        <v>33</v>
      </c>
      <c r="P13" s="13" t="n">
        <v>20</v>
      </c>
    </row>
    <row r="14" customFormat="false" ht="15" hidden="false" customHeight="true" outlineLevel="0" collapsed="false">
      <c r="A14" s="11" t="s">
        <v>68</v>
      </c>
      <c r="B14" s="11" t="s">
        <v>69</v>
      </c>
      <c r="C14" s="11" t="s">
        <v>32</v>
      </c>
      <c r="D14" s="11" t="s">
        <v>57</v>
      </c>
      <c r="E14" s="11" t="s">
        <v>34</v>
      </c>
      <c r="F14" s="12" t="n">
        <v>5010</v>
      </c>
      <c r="G14" s="12" t="n">
        <v>10880</v>
      </c>
      <c r="H14" s="11" t="n">
        <v>40</v>
      </c>
      <c r="I14" s="11" t="n">
        <v>18</v>
      </c>
      <c r="J14" s="11" t="n">
        <v>5</v>
      </c>
      <c r="K14" s="11" t="n">
        <v>6</v>
      </c>
      <c r="L14" s="11" t="n">
        <v>12</v>
      </c>
      <c r="M14" s="11" t="n">
        <v>21</v>
      </c>
      <c r="N14" s="11" t="n">
        <v>17</v>
      </c>
      <c r="O14" s="11" t="n">
        <v>5</v>
      </c>
      <c r="P14" s="11" t="n">
        <v>14</v>
      </c>
    </row>
    <row r="15" customFormat="false" ht="15" hidden="false" customHeight="true" outlineLevel="0" collapsed="false">
      <c r="A15" s="13" t="s">
        <v>70</v>
      </c>
      <c r="B15" s="13" t="s">
        <v>71</v>
      </c>
      <c r="C15" s="13" t="s">
        <v>32</v>
      </c>
      <c r="D15" s="13" t="s">
        <v>33</v>
      </c>
      <c r="E15" s="13" t="s">
        <v>34</v>
      </c>
      <c r="F15" s="14" t="n">
        <v>1770</v>
      </c>
      <c r="G15" s="14" t="n">
        <v>2410</v>
      </c>
      <c r="H15" s="13" t="n">
        <v>114</v>
      </c>
      <c r="I15" s="13" t="n">
        <v>5</v>
      </c>
      <c r="J15" s="13" t="n">
        <v>21</v>
      </c>
      <c r="K15" s="13" t="n">
        <v>0</v>
      </c>
      <c r="L15" s="13" t="n">
        <v>6</v>
      </c>
      <c r="M15" s="13" t="n">
        <v>1</v>
      </c>
      <c r="N15" s="13" t="n">
        <v>2</v>
      </c>
      <c r="O15" s="13" t="n">
        <v>4</v>
      </c>
      <c r="P15" s="13" t="n">
        <v>4</v>
      </c>
    </row>
    <row r="16" customFormat="false" ht="15" hidden="false" customHeight="true" outlineLevel="0" collapsed="false">
      <c r="A16" s="11" t="s">
        <v>72</v>
      </c>
      <c r="B16" s="11" t="s">
        <v>73</v>
      </c>
      <c r="C16" s="11" t="s">
        <v>32</v>
      </c>
      <c r="D16" s="11" t="s">
        <v>33</v>
      </c>
      <c r="E16" s="11" t="s">
        <v>34</v>
      </c>
      <c r="F16" s="12" t="n">
        <v>8430</v>
      </c>
      <c r="G16" s="12" t="n">
        <v>14800</v>
      </c>
      <c r="H16" s="11" t="n">
        <v>29</v>
      </c>
      <c r="I16" s="11" t="n">
        <v>59</v>
      </c>
      <c r="J16" s="11" t="n">
        <v>21</v>
      </c>
      <c r="K16" s="11" t="n">
        <v>38</v>
      </c>
      <c r="L16" s="11" t="n">
        <v>42</v>
      </c>
      <c r="M16" s="11" t="n">
        <v>40</v>
      </c>
      <c r="N16" s="11" t="n">
        <v>46</v>
      </c>
      <c r="O16" s="11" t="n">
        <v>30</v>
      </c>
      <c r="P16" s="11" t="n">
        <v>43</v>
      </c>
    </row>
    <row r="17" customFormat="false" ht="15" hidden="false" customHeight="true" outlineLevel="0" collapsed="false">
      <c r="A17" s="13" t="s">
        <v>74</v>
      </c>
      <c r="B17" s="13" t="s">
        <v>75</v>
      </c>
      <c r="C17" s="13" t="s">
        <v>32</v>
      </c>
      <c r="D17" s="13" t="s">
        <v>76</v>
      </c>
      <c r="E17" s="13" t="s">
        <v>48</v>
      </c>
      <c r="F17" s="14" t="n">
        <v>11260</v>
      </c>
      <c r="G17" s="14" t="n">
        <v>18000</v>
      </c>
      <c r="H17" s="13" t="n">
        <v>74</v>
      </c>
      <c r="I17" s="13" t="n">
        <v>5</v>
      </c>
      <c r="J17" s="13" t="n">
        <v>7</v>
      </c>
      <c r="K17" s="13" t="n">
        <v>0</v>
      </c>
      <c r="L17" s="13" t="n">
        <v>0</v>
      </c>
      <c r="M17" s="13" t="n">
        <v>1</v>
      </c>
      <c r="N17" s="13" t="n">
        <v>0</v>
      </c>
      <c r="O17" s="13" t="n">
        <v>0</v>
      </c>
      <c r="P17" s="13" t="n">
        <v>0</v>
      </c>
    </row>
    <row r="18" customFormat="false" ht="15" hidden="false" customHeight="true" outlineLevel="0" collapsed="false">
      <c r="A18" s="11" t="s">
        <v>77</v>
      </c>
      <c r="B18" s="11" t="s">
        <v>78</v>
      </c>
      <c r="C18" s="11" t="s">
        <v>32</v>
      </c>
      <c r="D18" s="11" t="s">
        <v>51</v>
      </c>
      <c r="E18" s="11" t="s">
        <v>38</v>
      </c>
      <c r="F18" s="12" t="n">
        <v>9910</v>
      </c>
      <c r="G18" s="12" t="n">
        <v>16450</v>
      </c>
      <c r="H18" s="11" t="n">
        <v>43</v>
      </c>
      <c r="I18" s="11" t="n">
        <v>5</v>
      </c>
      <c r="J18" s="11" t="n">
        <v>5</v>
      </c>
      <c r="K18" s="11" t="n">
        <v>0</v>
      </c>
      <c r="L18" s="11" t="n">
        <v>0</v>
      </c>
      <c r="M18" s="11" t="n">
        <v>1</v>
      </c>
      <c r="N18" s="11" t="n">
        <v>0</v>
      </c>
      <c r="O18" s="11" t="n">
        <v>0</v>
      </c>
      <c r="P18" s="11" t="n">
        <v>1</v>
      </c>
    </row>
    <row r="19" customFormat="false" ht="15" hidden="false" customHeight="true" outlineLevel="0" collapsed="false">
      <c r="A19" s="13" t="s">
        <v>79</v>
      </c>
      <c r="B19" s="13" t="s">
        <v>80</v>
      </c>
      <c r="C19" s="13" t="s">
        <v>32</v>
      </c>
      <c r="D19" s="13" t="s">
        <v>41</v>
      </c>
      <c r="E19" s="13" t="s">
        <v>48</v>
      </c>
      <c r="F19" s="14" t="n">
        <v>1340</v>
      </c>
      <c r="G19" s="14" t="n">
        <v>2460</v>
      </c>
      <c r="H19" s="13" t="n">
        <v>25</v>
      </c>
      <c r="I19" s="13" t="n">
        <v>21</v>
      </c>
      <c r="J19" s="13" t="n">
        <v>14</v>
      </c>
      <c r="K19" s="13" t="n">
        <v>16</v>
      </c>
      <c r="L19" s="13" t="n">
        <v>9</v>
      </c>
      <c r="M19" s="13" t="n">
        <v>17</v>
      </c>
      <c r="N19" s="13" t="n">
        <v>14</v>
      </c>
      <c r="O19" s="13" t="n">
        <v>17</v>
      </c>
      <c r="P19" s="13" t="n">
        <v>13</v>
      </c>
    </row>
    <row r="20" customFormat="false" ht="15" hidden="false" customHeight="true" outlineLevel="0" collapsed="false">
      <c r="A20" s="11" t="s">
        <v>81</v>
      </c>
      <c r="B20" s="11" t="s">
        <v>82</v>
      </c>
      <c r="C20" s="11" t="s">
        <v>32</v>
      </c>
      <c r="D20" s="11" t="s">
        <v>51</v>
      </c>
      <c r="E20" s="11" t="s">
        <v>48</v>
      </c>
      <c r="F20" s="12" t="n">
        <v>5430</v>
      </c>
      <c r="G20" s="12" t="n">
        <v>10470</v>
      </c>
      <c r="H20" s="11" t="n">
        <v>71</v>
      </c>
      <c r="I20" s="11" t="n">
        <v>25</v>
      </c>
      <c r="J20" s="11" t="n">
        <v>21</v>
      </c>
      <c r="K20" s="11" t="n">
        <v>17</v>
      </c>
      <c r="L20" s="11" t="n">
        <v>21</v>
      </c>
      <c r="M20" s="11" t="n">
        <v>8</v>
      </c>
      <c r="N20" s="11" t="n">
        <v>20</v>
      </c>
      <c r="O20" s="11" t="n">
        <v>17</v>
      </c>
      <c r="P20" s="11" t="n">
        <v>20</v>
      </c>
    </row>
    <row r="21" customFormat="false" ht="15" hidden="false" customHeight="true" outlineLevel="0" collapsed="false">
      <c r="A21" s="13" t="s">
        <v>83</v>
      </c>
      <c r="B21" s="13" t="s">
        <v>84</v>
      </c>
      <c r="C21" s="13" t="s">
        <v>32</v>
      </c>
      <c r="D21" s="13" t="s">
        <v>51</v>
      </c>
      <c r="E21" s="13" t="s">
        <v>38</v>
      </c>
      <c r="F21" s="14" t="n">
        <v>3780</v>
      </c>
      <c r="G21" s="14" t="n">
        <v>7590</v>
      </c>
      <c r="H21" s="13" t="n">
        <v>41</v>
      </c>
      <c r="I21" s="13" t="n">
        <v>18</v>
      </c>
      <c r="J21" s="13" t="n">
        <v>5</v>
      </c>
      <c r="K21" s="13" t="n">
        <v>12</v>
      </c>
      <c r="L21" s="13" t="n">
        <v>19</v>
      </c>
      <c r="M21" s="13" t="n">
        <v>12</v>
      </c>
      <c r="N21" s="13" t="n">
        <v>9</v>
      </c>
      <c r="O21" s="13" t="n">
        <v>18</v>
      </c>
      <c r="P21" s="13" t="n">
        <v>2</v>
      </c>
    </row>
    <row r="22" customFormat="false" ht="15" hidden="false" customHeight="true" outlineLevel="0" collapsed="false">
      <c r="A22" s="11" t="s">
        <v>85</v>
      </c>
      <c r="B22" s="11" t="s">
        <v>86</v>
      </c>
      <c r="C22" s="11" t="s">
        <v>32</v>
      </c>
      <c r="D22" s="11" t="s">
        <v>60</v>
      </c>
      <c r="E22" s="11" t="s">
        <v>54</v>
      </c>
      <c r="F22" s="12" t="n">
        <v>5560</v>
      </c>
      <c r="G22" s="12" t="n">
        <v>11320</v>
      </c>
      <c r="H22" s="11" t="n">
        <v>39</v>
      </c>
      <c r="I22" s="11" t="n">
        <v>5</v>
      </c>
      <c r="J22" s="11" t="n">
        <v>14</v>
      </c>
      <c r="K22" s="11" t="n">
        <v>3</v>
      </c>
      <c r="L22" s="11" t="n">
        <v>2</v>
      </c>
      <c r="M22" s="11" t="n">
        <v>4</v>
      </c>
      <c r="N22" s="11" t="n">
        <v>4</v>
      </c>
      <c r="O22" s="11" t="n">
        <v>4</v>
      </c>
      <c r="P22" s="11" t="n">
        <v>6</v>
      </c>
    </row>
    <row r="23" customFormat="false" ht="15" hidden="false" customHeight="true" outlineLevel="0" collapsed="false">
      <c r="A23" s="13" t="s">
        <v>87</v>
      </c>
      <c r="B23" s="13" t="s">
        <v>88</v>
      </c>
      <c r="C23" s="13" t="s">
        <v>32</v>
      </c>
      <c r="D23" s="13" t="s">
        <v>67</v>
      </c>
      <c r="E23" s="13" t="s">
        <v>34</v>
      </c>
      <c r="F23" s="14" t="n">
        <v>8720</v>
      </c>
      <c r="G23" s="14" t="n">
        <v>18540</v>
      </c>
      <c r="H23" s="13" t="n">
        <v>38</v>
      </c>
      <c r="I23" s="13" t="n">
        <v>61</v>
      </c>
      <c r="J23" s="13" t="n">
        <v>21</v>
      </c>
      <c r="K23" s="13" t="n">
        <v>45</v>
      </c>
      <c r="L23" s="13" t="n">
        <v>46</v>
      </c>
      <c r="M23" s="13" t="n">
        <v>29</v>
      </c>
      <c r="N23" s="13" t="n">
        <v>38</v>
      </c>
      <c r="O23" s="13" t="n">
        <v>34</v>
      </c>
      <c r="P23" s="13" t="n">
        <v>52</v>
      </c>
    </row>
    <row r="24" customFormat="false" ht="15" hidden="false" customHeight="true" outlineLevel="0" collapsed="false">
      <c r="A24" s="11" t="s">
        <v>89</v>
      </c>
      <c r="B24" s="11" t="s">
        <v>90</v>
      </c>
      <c r="C24" s="11" t="s">
        <v>32</v>
      </c>
      <c r="D24" s="11" t="s">
        <v>91</v>
      </c>
      <c r="E24" s="11" t="s">
        <v>54</v>
      </c>
      <c r="F24" s="12" t="n">
        <v>7130</v>
      </c>
      <c r="G24" s="12" t="n">
        <v>10290</v>
      </c>
      <c r="H24" s="11" t="n">
        <v>60</v>
      </c>
      <c r="I24" s="11" t="n">
        <v>5</v>
      </c>
      <c r="J24" s="11" t="n">
        <v>10</v>
      </c>
      <c r="K24" s="11" t="n">
        <v>0</v>
      </c>
      <c r="L24" s="11" t="n">
        <v>5</v>
      </c>
      <c r="M24" s="11" t="n">
        <v>4</v>
      </c>
      <c r="N24" s="11" t="n">
        <v>2</v>
      </c>
      <c r="O24" s="11" t="n">
        <v>4</v>
      </c>
      <c r="P24" s="11" t="n">
        <v>1</v>
      </c>
    </row>
    <row r="25" customFormat="false" ht="15" hidden="false" customHeight="true" outlineLevel="0" collapsed="false">
      <c r="A25" s="13" t="s">
        <v>92</v>
      </c>
      <c r="B25" s="13" t="s">
        <v>93</v>
      </c>
      <c r="C25" s="13" t="s">
        <v>32</v>
      </c>
      <c r="D25" s="13" t="s">
        <v>51</v>
      </c>
      <c r="E25" s="13" t="s">
        <v>54</v>
      </c>
      <c r="F25" s="14" t="n">
        <v>4660</v>
      </c>
      <c r="G25" s="14" t="n">
        <v>7400</v>
      </c>
      <c r="H25" s="13" t="n">
        <v>89</v>
      </c>
      <c r="I25" s="13" t="n">
        <v>22</v>
      </c>
      <c r="J25" s="13" t="n">
        <v>14</v>
      </c>
      <c r="K25" s="13" t="n">
        <v>17</v>
      </c>
      <c r="L25" s="13" t="n">
        <v>17</v>
      </c>
      <c r="M25" s="13" t="n">
        <v>12</v>
      </c>
      <c r="N25" s="13" t="n">
        <v>7</v>
      </c>
      <c r="O25" s="13" t="n">
        <v>19</v>
      </c>
      <c r="P25" s="13" t="n">
        <v>17</v>
      </c>
    </row>
    <row r="26" customFormat="false" ht="15" hidden="false" customHeight="true" outlineLevel="0" collapsed="false">
      <c r="A26" s="11" t="s">
        <v>94</v>
      </c>
      <c r="B26" s="11" t="s">
        <v>95</v>
      </c>
      <c r="C26" s="11" t="s">
        <v>32</v>
      </c>
      <c r="D26" s="11" t="s">
        <v>60</v>
      </c>
      <c r="E26" s="11" t="s">
        <v>38</v>
      </c>
      <c r="F26" s="12" t="n">
        <v>13680</v>
      </c>
      <c r="G26" s="12" t="n">
        <v>25070</v>
      </c>
      <c r="H26" s="11" t="n">
        <v>88</v>
      </c>
      <c r="I26" s="11" t="n">
        <v>6</v>
      </c>
      <c r="J26" s="11" t="n">
        <v>10</v>
      </c>
      <c r="K26" s="11" t="n">
        <v>5</v>
      </c>
      <c r="L26" s="11" t="n">
        <v>5</v>
      </c>
      <c r="M26" s="11" t="n">
        <v>4</v>
      </c>
      <c r="N26" s="11" t="n">
        <v>3</v>
      </c>
      <c r="O26" s="11" t="n">
        <v>3</v>
      </c>
      <c r="P26" s="11" t="n">
        <v>5</v>
      </c>
    </row>
    <row r="27" customFormat="false" ht="15" hidden="false" customHeight="true" outlineLevel="0" collapsed="false">
      <c r="A27" s="13" t="s">
        <v>96</v>
      </c>
      <c r="B27" s="13" t="s">
        <v>97</v>
      </c>
      <c r="C27" s="13" t="s">
        <v>32</v>
      </c>
      <c r="D27" s="13" t="s">
        <v>91</v>
      </c>
      <c r="E27" s="13" t="s">
        <v>42</v>
      </c>
      <c r="F27" s="14" t="n">
        <v>11480</v>
      </c>
      <c r="G27" s="14" t="n">
        <v>23520</v>
      </c>
      <c r="H27" s="13" t="n">
        <v>25</v>
      </c>
      <c r="I27" s="13" t="n">
        <v>17</v>
      </c>
      <c r="J27" s="13" t="n">
        <v>5</v>
      </c>
      <c r="K27" s="13" t="n">
        <v>15</v>
      </c>
      <c r="L27" s="13" t="n">
        <v>15</v>
      </c>
      <c r="M27" s="13" t="n">
        <v>0</v>
      </c>
      <c r="N27" s="13" t="n">
        <v>9</v>
      </c>
      <c r="O27" s="13" t="n">
        <v>10</v>
      </c>
      <c r="P27" s="13" t="n">
        <v>20</v>
      </c>
    </row>
    <row r="28" customFormat="false" ht="15" hidden="false" customHeight="true" outlineLevel="0" collapsed="false">
      <c r="A28" s="11" t="s">
        <v>98</v>
      </c>
      <c r="B28" s="11" t="s">
        <v>99</v>
      </c>
      <c r="C28" s="11" t="s">
        <v>32</v>
      </c>
      <c r="D28" s="11" t="s">
        <v>37</v>
      </c>
      <c r="E28" s="11" t="s">
        <v>38</v>
      </c>
      <c r="F28" s="12" t="n">
        <v>9620</v>
      </c>
      <c r="G28" s="12" t="n">
        <v>14570</v>
      </c>
      <c r="H28" s="11" t="n">
        <v>34</v>
      </c>
      <c r="I28" s="11" t="n">
        <v>25</v>
      </c>
      <c r="J28" s="11" t="n">
        <v>7</v>
      </c>
      <c r="K28" s="11" t="n">
        <v>24</v>
      </c>
      <c r="L28" s="11" t="n">
        <v>22</v>
      </c>
      <c r="M28" s="11" t="n">
        <v>11</v>
      </c>
      <c r="N28" s="11" t="n">
        <v>15</v>
      </c>
      <c r="O28" s="11" t="n">
        <v>10</v>
      </c>
      <c r="P28" s="11" t="n">
        <v>20</v>
      </c>
    </row>
    <row r="29" customFormat="false" ht="15" hidden="false" customHeight="true" outlineLevel="0" collapsed="false">
      <c r="A29" s="13" t="s">
        <v>100</v>
      </c>
      <c r="B29" s="13" t="s">
        <v>101</v>
      </c>
      <c r="C29" s="13" t="s">
        <v>32</v>
      </c>
      <c r="D29" s="13" t="s">
        <v>33</v>
      </c>
      <c r="E29" s="13" t="s">
        <v>34</v>
      </c>
      <c r="F29" s="14" t="n">
        <v>1160</v>
      </c>
      <c r="G29" s="14" t="n">
        <v>1830</v>
      </c>
      <c r="H29" s="13" t="n">
        <v>43</v>
      </c>
      <c r="I29" s="13" t="n">
        <v>5</v>
      </c>
      <c r="J29" s="13" t="n">
        <v>10</v>
      </c>
      <c r="K29" s="13" t="n">
        <v>5</v>
      </c>
      <c r="L29" s="13" t="n">
        <v>3</v>
      </c>
      <c r="M29" s="13" t="n">
        <v>3</v>
      </c>
      <c r="N29" s="13" t="n">
        <v>3</v>
      </c>
      <c r="O29" s="13" t="n">
        <v>2</v>
      </c>
      <c r="P29" s="13" t="n">
        <v>1</v>
      </c>
    </row>
    <row r="30" customFormat="false" ht="15" hidden="false" customHeight="true" outlineLevel="0" collapsed="false">
      <c r="A30" s="11" t="s">
        <v>102</v>
      </c>
      <c r="B30" s="11" t="s">
        <v>103</v>
      </c>
      <c r="C30" s="11" t="s">
        <v>32</v>
      </c>
      <c r="D30" s="11" t="s">
        <v>33</v>
      </c>
      <c r="E30" s="11" t="s">
        <v>42</v>
      </c>
      <c r="F30" s="12" t="n">
        <v>11910</v>
      </c>
      <c r="G30" s="12" t="n">
        <v>19200</v>
      </c>
      <c r="H30" s="11" t="n">
        <v>66</v>
      </c>
      <c r="I30" s="11" t="n">
        <v>22</v>
      </c>
      <c r="J30" s="11" t="n">
        <v>14</v>
      </c>
      <c r="K30" s="11" t="n">
        <v>10</v>
      </c>
      <c r="L30" s="11" t="n">
        <v>19</v>
      </c>
      <c r="M30" s="11" t="n">
        <v>9</v>
      </c>
      <c r="N30" s="11" t="n">
        <v>23</v>
      </c>
      <c r="O30" s="11" t="n">
        <v>16</v>
      </c>
      <c r="P30" s="11" t="n">
        <v>12</v>
      </c>
    </row>
    <row r="31" customFormat="false" ht="15" hidden="false" customHeight="true" outlineLevel="0" collapsed="false">
      <c r="A31" s="13" t="s">
        <v>104</v>
      </c>
      <c r="B31" s="13" t="s">
        <v>105</v>
      </c>
      <c r="C31" s="13" t="s">
        <v>106</v>
      </c>
      <c r="D31" s="13" t="s">
        <v>57</v>
      </c>
      <c r="E31" s="13" t="s">
        <v>54</v>
      </c>
      <c r="F31" s="14" t="n">
        <v>14510</v>
      </c>
      <c r="G31" s="14" t="n">
        <v>22390</v>
      </c>
      <c r="H31" s="13" t="n">
        <v>41</v>
      </c>
      <c r="I31" s="13" t="n">
        <v>5</v>
      </c>
      <c r="J31" s="13" t="n">
        <v>10</v>
      </c>
      <c r="K31" s="13" t="n">
        <v>1</v>
      </c>
      <c r="L31" s="13" t="n">
        <v>3</v>
      </c>
      <c r="M31" s="13" t="n">
        <v>1</v>
      </c>
      <c r="N31" s="13" t="n">
        <v>5</v>
      </c>
      <c r="O31" s="13" t="n">
        <v>3</v>
      </c>
      <c r="P31" s="13" t="n">
        <v>7</v>
      </c>
    </row>
    <row r="32" customFormat="false" ht="15" hidden="false" customHeight="true" outlineLevel="0" collapsed="false">
      <c r="A32" s="11" t="s">
        <v>107</v>
      </c>
      <c r="B32" s="11" t="s">
        <v>108</v>
      </c>
      <c r="C32" s="11" t="s">
        <v>106</v>
      </c>
      <c r="D32" s="11" t="s">
        <v>37</v>
      </c>
      <c r="E32" s="11" t="s">
        <v>34</v>
      </c>
      <c r="F32" s="12" t="n">
        <v>8890</v>
      </c>
      <c r="G32" s="12" t="n">
        <v>16900</v>
      </c>
      <c r="H32" s="11" t="n">
        <v>96</v>
      </c>
      <c r="I32" s="11" t="n">
        <v>20</v>
      </c>
      <c r="J32" s="11" t="n">
        <v>10</v>
      </c>
      <c r="K32" s="11" t="n">
        <v>10</v>
      </c>
      <c r="L32" s="11" t="n">
        <v>15</v>
      </c>
      <c r="M32" s="11" t="n">
        <v>10</v>
      </c>
      <c r="N32" s="11" t="n">
        <v>15</v>
      </c>
      <c r="O32" s="11" t="n">
        <v>14</v>
      </c>
      <c r="P32" s="11" t="n">
        <v>19</v>
      </c>
    </row>
    <row r="33" customFormat="false" ht="15" hidden="false" customHeight="true" outlineLevel="0" collapsed="false">
      <c r="A33" s="13" t="s">
        <v>109</v>
      </c>
      <c r="B33" s="13" t="s">
        <v>110</v>
      </c>
      <c r="C33" s="13" t="s">
        <v>106</v>
      </c>
      <c r="D33" s="13" t="s">
        <v>76</v>
      </c>
      <c r="E33" s="13" t="s">
        <v>42</v>
      </c>
      <c r="F33" s="14" t="n">
        <v>14260</v>
      </c>
      <c r="G33" s="14" t="n">
        <v>19640</v>
      </c>
      <c r="H33" s="13" t="n">
        <v>41</v>
      </c>
      <c r="I33" s="13" t="n">
        <v>5</v>
      </c>
      <c r="J33" s="13" t="n">
        <v>10</v>
      </c>
      <c r="K33" s="13" t="n">
        <v>0</v>
      </c>
      <c r="L33" s="13" t="n">
        <v>4</v>
      </c>
      <c r="M33" s="13" t="n">
        <v>2</v>
      </c>
      <c r="N33" s="13" t="n">
        <v>1</v>
      </c>
      <c r="O33" s="13" t="n">
        <v>0</v>
      </c>
      <c r="P33" s="13" t="n">
        <v>4</v>
      </c>
    </row>
    <row r="34" customFormat="false" ht="15" hidden="false" customHeight="true" outlineLevel="0" collapsed="false">
      <c r="A34" s="11" t="s">
        <v>111</v>
      </c>
      <c r="B34" s="11" t="s">
        <v>112</v>
      </c>
      <c r="C34" s="11" t="s">
        <v>106</v>
      </c>
      <c r="D34" s="11" t="s">
        <v>51</v>
      </c>
      <c r="E34" s="11" t="s">
        <v>48</v>
      </c>
      <c r="F34" s="12" t="n">
        <v>5920</v>
      </c>
      <c r="G34" s="12" t="n">
        <v>9310</v>
      </c>
      <c r="H34" s="11" t="n">
        <v>92</v>
      </c>
      <c r="I34" s="11" t="n">
        <v>6</v>
      </c>
      <c r="J34" s="11" t="n">
        <v>5</v>
      </c>
      <c r="K34" s="11" t="n">
        <v>4</v>
      </c>
      <c r="L34" s="11" t="n">
        <v>4</v>
      </c>
      <c r="M34" s="11" t="n">
        <v>5</v>
      </c>
      <c r="N34" s="11" t="n">
        <v>4</v>
      </c>
      <c r="O34" s="11" t="n">
        <v>6</v>
      </c>
      <c r="P34" s="11" t="n">
        <v>3</v>
      </c>
    </row>
    <row r="35" customFormat="false" ht="15" hidden="false" customHeight="true" outlineLevel="0" collapsed="false">
      <c r="A35" s="13" t="s">
        <v>113</v>
      </c>
      <c r="B35" s="13" t="s">
        <v>114</v>
      </c>
      <c r="C35" s="13" t="s">
        <v>106</v>
      </c>
      <c r="D35" s="13" t="s">
        <v>41</v>
      </c>
      <c r="E35" s="13" t="s">
        <v>42</v>
      </c>
      <c r="F35" s="14" t="n">
        <v>7470</v>
      </c>
      <c r="G35" s="14" t="n">
        <v>12670</v>
      </c>
      <c r="H35" s="13" t="n">
        <v>50</v>
      </c>
      <c r="I35" s="13" t="n">
        <v>62</v>
      </c>
      <c r="J35" s="13" t="n">
        <v>5</v>
      </c>
      <c r="K35" s="13" t="n">
        <v>58</v>
      </c>
      <c r="L35" s="13" t="n">
        <v>46</v>
      </c>
      <c r="M35" s="13" t="n">
        <v>25</v>
      </c>
      <c r="N35" s="13" t="n">
        <v>42</v>
      </c>
      <c r="O35" s="13" t="n">
        <v>37</v>
      </c>
      <c r="P35" s="13" t="n">
        <v>41</v>
      </c>
    </row>
    <row r="36" customFormat="false" ht="15" hidden="false" customHeight="true" outlineLevel="0" collapsed="false">
      <c r="A36" s="11" t="s">
        <v>115</v>
      </c>
      <c r="B36" s="11" t="s">
        <v>116</v>
      </c>
      <c r="C36" s="11" t="s">
        <v>106</v>
      </c>
      <c r="D36" s="11" t="s">
        <v>57</v>
      </c>
      <c r="E36" s="11" t="s">
        <v>34</v>
      </c>
      <c r="F36" s="12" t="n">
        <v>14280</v>
      </c>
      <c r="G36" s="12" t="n">
        <v>19660</v>
      </c>
      <c r="H36" s="11" t="n">
        <v>76</v>
      </c>
      <c r="I36" s="11" t="n">
        <v>17</v>
      </c>
      <c r="J36" s="11" t="n">
        <v>10</v>
      </c>
      <c r="K36" s="11" t="n">
        <v>10</v>
      </c>
      <c r="L36" s="11" t="n">
        <v>13</v>
      </c>
      <c r="M36" s="11" t="n">
        <v>9</v>
      </c>
      <c r="N36" s="11" t="n">
        <v>11</v>
      </c>
      <c r="O36" s="11" t="n">
        <v>15</v>
      </c>
      <c r="P36" s="11" t="n">
        <v>10</v>
      </c>
    </row>
    <row r="37" customFormat="false" ht="15" hidden="false" customHeight="true" outlineLevel="0" collapsed="false">
      <c r="A37" s="13" t="s">
        <v>117</v>
      </c>
      <c r="B37" s="13" t="s">
        <v>118</v>
      </c>
      <c r="C37" s="13" t="s">
        <v>106</v>
      </c>
      <c r="D37" s="13" t="s">
        <v>91</v>
      </c>
      <c r="E37" s="13" t="s">
        <v>38</v>
      </c>
      <c r="F37" s="14" t="n">
        <v>8870</v>
      </c>
      <c r="G37" s="14" t="n">
        <v>12010</v>
      </c>
      <c r="H37" s="13" t="n">
        <v>120</v>
      </c>
      <c r="I37" s="13" t="n">
        <v>5</v>
      </c>
      <c r="J37" s="13" t="n">
        <v>7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</row>
    <row r="38" customFormat="false" ht="15" hidden="false" customHeight="true" outlineLevel="0" collapsed="false">
      <c r="A38" s="11" t="s">
        <v>119</v>
      </c>
      <c r="B38" s="11" t="s">
        <v>120</v>
      </c>
      <c r="C38" s="11" t="s">
        <v>106</v>
      </c>
      <c r="D38" s="11" t="s">
        <v>51</v>
      </c>
      <c r="E38" s="11" t="s">
        <v>54</v>
      </c>
      <c r="F38" s="12" t="n">
        <v>12350</v>
      </c>
      <c r="G38" s="12" t="n">
        <v>22170</v>
      </c>
      <c r="H38" s="11" t="n">
        <v>89</v>
      </c>
      <c r="I38" s="11" t="n">
        <v>19</v>
      </c>
      <c r="J38" s="11" t="n">
        <v>14</v>
      </c>
      <c r="K38" s="11" t="n">
        <v>13</v>
      </c>
      <c r="L38" s="11" t="n">
        <v>19</v>
      </c>
      <c r="M38" s="11" t="n">
        <v>19</v>
      </c>
      <c r="N38" s="11" t="n">
        <v>14</v>
      </c>
      <c r="O38" s="11" t="n">
        <v>0</v>
      </c>
      <c r="P38" s="11" t="n">
        <v>13</v>
      </c>
    </row>
    <row r="39" customFormat="false" ht="15" hidden="false" customHeight="true" outlineLevel="0" collapsed="false">
      <c r="A39" s="13" t="s">
        <v>121</v>
      </c>
      <c r="B39" s="13" t="s">
        <v>122</v>
      </c>
      <c r="C39" s="13" t="s">
        <v>106</v>
      </c>
      <c r="D39" s="13" t="s">
        <v>76</v>
      </c>
      <c r="E39" s="13" t="s">
        <v>48</v>
      </c>
      <c r="F39" s="14" t="n">
        <v>8160</v>
      </c>
      <c r="G39" s="14" t="n">
        <v>15180</v>
      </c>
      <c r="H39" s="13" t="n">
        <v>82</v>
      </c>
      <c r="I39" s="13" t="n">
        <v>24</v>
      </c>
      <c r="J39" s="13" t="n">
        <v>5</v>
      </c>
      <c r="K39" s="13" t="n">
        <v>13</v>
      </c>
      <c r="L39" s="13" t="n">
        <v>15</v>
      </c>
      <c r="M39" s="13" t="n">
        <v>14</v>
      </c>
      <c r="N39" s="13" t="n">
        <v>17</v>
      </c>
      <c r="O39" s="13" t="n">
        <v>12</v>
      </c>
      <c r="P39" s="13" t="n">
        <v>25</v>
      </c>
    </row>
    <row r="40" customFormat="false" ht="15" hidden="false" customHeight="true" outlineLevel="0" collapsed="false">
      <c r="A40" s="11" t="s">
        <v>123</v>
      </c>
      <c r="B40" s="11" t="s">
        <v>124</v>
      </c>
      <c r="C40" s="11" t="s">
        <v>106</v>
      </c>
      <c r="D40" s="11" t="s">
        <v>60</v>
      </c>
      <c r="E40" s="11" t="s">
        <v>54</v>
      </c>
      <c r="F40" s="12" t="n">
        <v>6700</v>
      </c>
      <c r="G40" s="12" t="n">
        <v>11620</v>
      </c>
      <c r="H40" s="11" t="n">
        <v>28</v>
      </c>
      <c r="I40" s="11" t="n">
        <v>22</v>
      </c>
      <c r="J40" s="11" t="n">
        <v>10</v>
      </c>
      <c r="K40" s="11" t="n">
        <v>12</v>
      </c>
      <c r="L40" s="11" t="n">
        <v>15</v>
      </c>
      <c r="M40" s="11" t="n">
        <v>17</v>
      </c>
      <c r="N40" s="11" t="n">
        <v>21</v>
      </c>
      <c r="O40" s="11" t="n">
        <v>14</v>
      </c>
      <c r="P40" s="11" t="n">
        <v>12</v>
      </c>
    </row>
    <row r="41" customFormat="false" ht="15" hidden="false" customHeight="true" outlineLevel="0" collapsed="false">
      <c r="A41" s="13" t="s">
        <v>125</v>
      </c>
      <c r="B41" s="13" t="s">
        <v>126</v>
      </c>
      <c r="C41" s="13" t="s">
        <v>106</v>
      </c>
      <c r="D41" s="13" t="s">
        <v>45</v>
      </c>
      <c r="E41" s="13" t="s">
        <v>34</v>
      </c>
      <c r="F41" s="14" t="n">
        <v>4590</v>
      </c>
      <c r="G41" s="14" t="n">
        <v>5980</v>
      </c>
      <c r="H41" s="13" t="n">
        <v>72</v>
      </c>
      <c r="I41" s="13" t="n">
        <v>5</v>
      </c>
      <c r="J41" s="13" t="n">
        <v>21</v>
      </c>
      <c r="K41" s="13" t="n">
        <v>5</v>
      </c>
      <c r="L41" s="13" t="n">
        <v>1</v>
      </c>
      <c r="M41" s="13" t="n">
        <v>1</v>
      </c>
      <c r="N41" s="13" t="n">
        <v>0</v>
      </c>
      <c r="O41" s="13" t="n">
        <v>1</v>
      </c>
      <c r="P41" s="13" t="n">
        <v>4</v>
      </c>
    </row>
    <row r="42" customFormat="false" ht="15" hidden="false" customHeight="true" outlineLevel="0" collapsed="false">
      <c r="A42" s="11" t="s">
        <v>127</v>
      </c>
      <c r="B42" s="11" t="s">
        <v>128</v>
      </c>
      <c r="C42" s="11" t="s">
        <v>106</v>
      </c>
      <c r="D42" s="11" t="s">
        <v>67</v>
      </c>
      <c r="E42" s="11" t="s">
        <v>42</v>
      </c>
      <c r="F42" s="12" t="n">
        <v>13150</v>
      </c>
      <c r="G42" s="12" t="n">
        <v>28700</v>
      </c>
      <c r="H42" s="11" t="n">
        <v>68</v>
      </c>
      <c r="I42" s="11" t="n">
        <v>19</v>
      </c>
      <c r="J42" s="11" t="n">
        <v>14</v>
      </c>
      <c r="K42" s="11" t="n">
        <v>7</v>
      </c>
      <c r="L42" s="11" t="n">
        <v>21</v>
      </c>
      <c r="M42" s="11" t="n">
        <v>11</v>
      </c>
      <c r="N42" s="11" t="n">
        <v>17</v>
      </c>
      <c r="O42" s="11" t="n">
        <v>4</v>
      </c>
      <c r="P42" s="11" t="n">
        <v>16</v>
      </c>
    </row>
    <row r="43" customFormat="false" ht="15" hidden="false" customHeight="true" outlineLevel="0" collapsed="false">
      <c r="A43" s="13" t="s">
        <v>129</v>
      </c>
      <c r="B43" s="13" t="s">
        <v>130</v>
      </c>
      <c r="C43" s="13" t="s">
        <v>106</v>
      </c>
      <c r="D43" s="13" t="s">
        <v>67</v>
      </c>
      <c r="E43" s="13" t="s">
        <v>54</v>
      </c>
      <c r="F43" s="14" t="n">
        <v>2590</v>
      </c>
      <c r="G43" s="14" t="n">
        <v>5620</v>
      </c>
      <c r="H43" s="13" t="n">
        <v>39</v>
      </c>
      <c r="I43" s="13" t="n">
        <v>29</v>
      </c>
      <c r="J43" s="13" t="n">
        <v>5</v>
      </c>
      <c r="K43" s="13" t="n">
        <v>22</v>
      </c>
      <c r="L43" s="13" t="n">
        <v>20</v>
      </c>
      <c r="M43" s="13" t="n">
        <v>23</v>
      </c>
      <c r="N43" s="13" t="n">
        <v>21</v>
      </c>
      <c r="O43" s="13" t="n">
        <v>17</v>
      </c>
      <c r="P43" s="13" t="n">
        <v>15</v>
      </c>
    </row>
    <row r="44" customFormat="false" ht="15" hidden="false" customHeight="true" outlineLevel="0" collapsed="false">
      <c r="A44" s="11" t="s">
        <v>131</v>
      </c>
      <c r="B44" s="11" t="s">
        <v>132</v>
      </c>
      <c r="C44" s="11" t="s">
        <v>106</v>
      </c>
      <c r="D44" s="11" t="s">
        <v>41</v>
      </c>
      <c r="E44" s="11" t="s">
        <v>48</v>
      </c>
      <c r="F44" s="12" t="n">
        <v>4130</v>
      </c>
      <c r="G44" s="12" t="n">
        <v>7910</v>
      </c>
      <c r="H44" s="11" t="n">
        <v>41</v>
      </c>
      <c r="I44" s="11" t="n">
        <v>23</v>
      </c>
      <c r="J44" s="11" t="n">
        <v>10</v>
      </c>
      <c r="K44" s="11" t="n">
        <v>15</v>
      </c>
      <c r="L44" s="11" t="n">
        <v>17</v>
      </c>
      <c r="M44" s="11" t="n">
        <v>23</v>
      </c>
      <c r="N44" s="11" t="n">
        <v>13</v>
      </c>
      <c r="O44" s="11" t="n">
        <v>14</v>
      </c>
      <c r="P44" s="11" t="n">
        <v>12</v>
      </c>
    </row>
    <row r="45" customFormat="false" ht="15" hidden="false" customHeight="true" outlineLevel="0" collapsed="false">
      <c r="A45" s="13" t="s">
        <v>133</v>
      </c>
      <c r="B45" s="13" t="s">
        <v>134</v>
      </c>
      <c r="C45" s="13" t="s">
        <v>106</v>
      </c>
      <c r="D45" s="13" t="s">
        <v>76</v>
      </c>
      <c r="E45" s="13" t="s">
        <v>42</v>
      </c>
      <c r="F45" s="14" t="n">
        <v>12110</v>
      </c>
      <c r="G45" s="14" t="n">
        <v>18940</v>
      </c>
      <c r="H45" s="13" t="n">
        <v>68</v>
      </c>
      <c r="I45" s="13" t="n">
        <v>21</v>
      </c>
      <c r="J45" s="13" t="n">
        <v>21</v>
      </c>
      <c r="K45" s="13" t="n">
        <v>18</v>
      </c>
      <c r="L45" s="13" t="n">
        <v>19</v>
      </c>
      <c r="M45" s="13" t="n">
        <v>6</v>
      </c>
      <c r="N45" s="13" t="n">
        <v>11</v>
      </c>
      <c r="O45" s="13" t="n">
        <v>15</v>
      </c>
      <c r="P45" s="13" t="n">
        <v>16</v>
      </c>
    </row>
    <row r="46" customFormat="false" ht="15" hidden="false" customHeight="true" outlineLevel="0" collapsed="false">
      <c r="A46" s="11" t="s">
        <v>135</v>
      </c>
      <c r="B46" s="11" t="s">
        <v>136</v>
      </c>
      <c r="C46" s="11" t="s">
        <v>106</v>
      </c>
      <c r="D46" s="11" t="s">
        <v>51</v>
      </c>
      <c r="E46" s="11" t="s">
        <v>42</v>
      </c>
      <c r="F46" s="12" t="n">
        <v>8840</v>
      </c>
      <c r="G46" s="12" t="n">
        <v>16950</v>
      </c>
      <c r="H46" s="11" t="n">
        <v>107</v>
      </c>
      <c r="I46" s="11" t="n">
        <v>6</v>
      </c>
      <c r="J46" s="11" t="n">
        <v>10</v>
      </c>
      <c r="K46" s="11" t="n">
        <v>6</v>
      </c>
      <c r="L46" s="11" t="n">
        <v>4</v>
      </c>
      <c r="M46" s="11" t="n">
        <v>0</v>
      </c>
      <c r="N46" s="11" t="n">
        <v>4</v>
      </c>
      <c r="O46" s="11" t="n">
        <v>3</v>
      </c>
      <c r="P46" s="11" t="n">
        <v>7</v>
      </c>
    </row>
    <row r="47" customFormat="false" ht="15" hidden="false" customHeight="true" outlineLevel="0" collapsed="false">
      <c r="A47" s="13" t="s">
        <v>137</v>
      </c>
      <c r="B47" s="13" t="s">
        <v>138</v>
      </c>
      <c r="C47" s="13" t="s">
        <v>106</v>
      </c>
      <c r="D47" s="13" t="s">
        <v>37</v>
      </c>
      <c r="E47" s="13" t="s">
        <v>38</v>
      </c>
      <c r="F47" s="14" t="n">
        <v>4360</v>
      </c>
      <c r="G47" s="14" t="n">
        <v>8630</v>
      </c>
      <c r="H47" s="13" t="n">
        <v>34</v>
      </c>
      <c r="I47" s="13" t="n">
        <v>7</v>
      </c>
      <c r="J47" s="13" t="n">
        <v>21</v>
      </c>
      <c r="K47" s="13" t="n">
        <v>3</v>
      </c>
      <c r="L47" s="13" t="n">
        <v>3</v>
      </c>
      <c r="M47" s="13" t="n">
        <v>6</v>
      </c>
      <c r="N47" s="13" t="n">
        <v>5</v>
      </c>
      <c r="O47" s="13" t="n">
        <v>7</v>
      </c>
      <c r="P47" s="13" t="n">
        <v>4</v>
      </c>
    </row>
    <row r="48" customFormat="false" ht="15" hidden="false" customHeight="true" outlineLevel="0" collapsed="false">
      <c r="A48" s="11" t="s">
        <v>139</v>
      </c>
      <c r="B48" s="11" t="s">
        <v>140</v>
      </c>
      <c r="C48" s="11" t="s">
        <v>106</v>
      </c>
      <c r="D48" s="11" t="s">
        <v>91</v>
      </c>
      <c r="E48" s="11" t="s">
        <v>34</v>
      </c>
      <c r="F48" s="12" t="n">
        <v>4560</v>
      </c>
      <c r="G48" s="12" t="n">
        <v>6440</v>
      </c>
      <c r="H48" s="11" t="n">
        <v>80</v>
      </c>
      <c r="I48" s="11" t="n">
        <v>20</v>
      </c>
      <c r="J48" s="11" t="n">
        <v>5</v>
      </c>
      <c r="K48" s="11" t="n">
        <v>14</v>
      </c>
      <c r="L48" s="11" t="n">
        <v>11</v>
      </c>
      <c r="M48" s="11" t="n">
        <v>9</v>
      </c>
      <c r="N48" s="11" t="n">
        <v>19</v>
      </c>
      <c r="O48" s="11" t="n">
        <v>9</v>
      </c>
      <c r="P48" s="11" t="n">
        <v>20</v>
      </c>
    </row>
    <row r="49" customFormat="false" ht="15" hidden="false" customHeight="true" outlineLevel="0" collapsed="false">
      <c r="A49" s="13" t="s">
        <v>141</v>
      </c>
      <c r="B49" s="13" t="s">
        <v>142</v>
      </c>
      <c r="C49" s="13" t="s">
        <v>106</v>
      </c>
      <c r="D49" s="13" t="s">
        <v>60</v>
      </c>
      <c r="E49" s="13" t="s">
        <v>48</v>
      </c>
      <c r="F49" s="14" t="n">
        <v>13800</v>
      </c>
      <c r="G49" s="14" t="n">
        <v>20690</v>
      </c>
      <c r="H49" s="13" t="n">
        <v>29</v>
      </c>
      <c r="I49" s="13" t="n">
        <v>65</v>
      </c>
      <c r="J49" s="13" t="n">
        <v>14</v>
      </c>
      <c r="K49" s="13" t="n">
        <v>47</v>
      </c>
      <c r="L49" s="13" t="n">
        <v>24</v>
      </c>
      <c r="M49" s="13" t="n">
        <v>37</v>
      </c>
      <c r="N49" s="13" t="n">
        <v>47</v>
      </c>
      <c r="O49" s="13" t="n">
        <v>52</v>
      </c>
      <c r="P49" s="13" t="n">
        <v>54</v>
      </c>
    </row>
    <row r="50" customFormat="false" ht="15" hidden="false" customHeight="true" outlineLevel="0" collapsed="false">
      <c r="A50" s="11" t="s">
        <v>143</v>
      </c>
      <c r="B50" s="11" t="s">
        <v>144</v>
      </c>
      <c r="C50" s="11" t="s">
        <v>106</v>
      </c>
      <c r="D50" s="11" t="s">
        <v>33</v>
      </c>
      <c r="E50" s="11" t="s">
        <v>54</v>
      </c>
      <c r="F50" s="12" t="n">
        <v>13400</v>
      </c>
      <c r="G50" s="12" t="n">
        <v>19060</v>
      </c>
      <c r="H50" s="11" t="n">
        <v>73</v>
      </c>
      <c r="I50" s="11" t="n">
        <v>19</v>
      </c>
      <c r="J50" s="11" t="n">
        <v>5</v>
      </c>
      <c r="K50" s="11" t="n">
        <v>11</v>
      </c>
      <c r="L50" s="11" t="n">
        <v>7</v>
      </c>
      <c r="M50" s="11" t="n">
        <v>19</v>
      </c>
      <c r="N50" s="11" t="n">
        <v>13</v>
      </c>
      <c r="O50" s="11" t="n">
        <v>14</v>
      </c>
      <c r="P50" s="11" t="n">
        <v>12</v>
      </c>
    </row>
    <row r="51" customFormat="false" ht="15" hidden="false" customHeight="true" outlineLevel="0" collapsed="false">
      <c r="A51" s="13" t="s">
        <v>145</v>
      </c>
      <c r="B51" s="13" t="s">
        <v>146</v>
      </c>
      <c r="C51" s="13" t="s">
        <v>106</v>
      </c>
      <c r="D51" s="13" t="s">
        <v>41</v>
      </c>
      <c r="E51" s="13" t="s">
        <v>48</v>
      </c>
      <c r="F51" s="14" t="n">
        <v>14130</v>
      </c>
      <c r="G51" s="14" t="n">
        <v>21930</v>
      </c>
      <c r="H51" s="13" t="n">
        <v>112</v>
      </c>
      <c r="I51" s="13" t="n">
        <v>6</v>
      </c>
      <c r="J51" s="13" t="n">
        <v>10</v>
      </c>
      <c r="K51" s="13" t="n">
        <v>4</v>
      </c>
      <c r="L51" s="13" t="n">
        <v>6</v>
      </c>
      <c r="M51" s="13" t="n">
        <v>4</v>
      </c>
      <c r="N51" s="13" t="n">
        <v>5</v>
      </c>
      <c r="O51" s="13" t="n">
        <v>5</v>
      </c>
      <c r="P51" s="13" t="n">
        <v>3</v>
      </c>
    </row>
    <row r="52" customFormat="false" ht="15" hidden="false" customHeight="true" outlineLevel="0" collapsed="false">
      <c r="A52" s="11" t="s">
        <v>147</v>
      </c>
      <c r="B52" s="11" t="s">
        <v>148</v>
      </c>
      <c r="C52" s="11" t="s">
        <v>106</v>
      </c>
      <c r="D52" s="11" t="s">
        <v>91</v>
      </c>
      <c r="E52" s="11" t="s">
        <v>34</v>
      </c>
      <c r="F52" s="12" t="n">
        <v>3500</v>
      </c>
      <c r="G52" s="12" t="n">
        <v>4930</v>
      </c>
      <c r="H52" s="11" t="n">
        <v>61</v>
      </c>
      <c r="I52" s="11" t="n">
        <v>5</v>
      </c>
      <c r="J52" s="11" t="n">
        <v>7</v>
      </c>
      <c r="K52" s="11" t="n">
        <v>1</v>
      </c>
      <c r="L52" s="11" t="n">
        <v>4</v>
      </c>
      <c r="M52" s="11" t="n">
        <v>2</v>
      </c>
      <c r="N52" s="11" t="n">
        <v>1</v>
      </c>
      <c r="O52" s="11" t="n">
        <v>7</v>
      </c>
      <c r="P52" s="11" t="n">
        <v>4</v>
      </c>
    </row>
    <row r="53" customFormat="false" ht="15" hidden="false" customHeight="true" outlineLevel="0" collapsed="false">
      <c r="A53" s="13" t="s">
        <v>149</v>
      </c>
      <c r="B53" s="13" t="s">
        <v>150</v>
      </c>
      <c r="C53" s="13" t="s">
        <v>106</v>
      </c>
      <c r="D53" s="13" t="s">
        <v>37</v>
      </c>
      <c r="E53" s="13" t="s">
        <v>34</v>
      </c>
      <c r="F53" s="14" t="n">
        <v>12580</v>
      </c>
      <c r="G53" s="14" t="n">
        <v>22630</v>
      </c>
      <c r="H53" s="13" t="n">
        <v>38</v>
      </c>
      <c r="I53" s="13" t="n">
        <v>18</v>
      </c>
      <c r="J53" s="13" t="n">
        <v>7</v>
      </c>
      <c r="K53" s="13" t="n">
        <v>16</v>
      </c>
      <c r="L53" s="13" t="n">
        <v>11</v>
      </c>
      <c r="M53" s="13" t="n">
        <v>16</v>
      </c>
      <c r="N53" s="13" t="n">
        <v>6</v>
      </c>
      <c r="O53" s="13" t="n">
        <v>11</v>
      </c>
      <c r="P53" s="13" t="n">
        <v>12</v>
      </c>
    </row>
    <row r="54" customFormat="false" ht="15" hidden="false" customHeight="true" outlineLevel="0" collapsed="false">
      <c r="A54" s="11" t="s">
        <v>151</v>
      </c>
      <c r="B54" s="11" t="s">
        <v>152</v>
      </c>
      <c r="C54" s="11" t="s">
        <v>106</v>
      </c>
      <c r="D54" s="11" t="s">
        <v>51</v>
      </c>
      <c r="E54" s="11" t="s">
        <v>48</v>
      </c>
      <c r="F54" s="12" t="n">
        <v>2360</v>
      </c>
      <c r="G54" s="12" t="n">
        <v>4910</v>
      </c>
      <c r="H54" s="11" t="n">
        <v>36</v>
      </c>
      <c r="I54" s="11" t="n">
        <v>60</v>
      </c>
      <c r="J54" s="11" t="n">
        <v>21</v>
      </c>
      <c r="K54" s="11" t="n">
        <v>31</v>
      </c>
      <c r="L54" s="11" t="n">
        <v>50</v>
      </c>
      <c r="M54" s="11" t="n">
        <v>38</v>
      </c>
      <c r="N54" s="11" t="n">
        <v>39</v>
      </c>
      <c r="O54" s="11" t="n">
        <v>39</v>
      </c>
      <c r="P54" s="11" t="n">
        <v>44</v>
      </c>
    </row>
    <row r="55" customFormat="false" ht="15" hidden="false" customHeight="true" outlineLevel="0" collapsed="false">
      <c r="A55" s="13" t="s">
        <v>153</v>
      </c>
      <c r="B55" s="13" t="s">
        <v>154</v>
      </c>
      <c r="C55" s="13" t="s">
        <v>106</v>
      </c>
      <c r="D55" s="13" t="s">
        <v>33</v>
      </c>
      <c r="E55" s="13" t="s">
        <v>48</v>
      </c>
      <c r="F55" s="14" t="n">
        <v>7170</v>
      </c>
      <c r="G55" s="14" t="n">
        <v>11660</v>
      </c>
      <c r="H55" s="13" t="n">
        <v>58</v>
      </c>
      <c r="I55" s="13" t="n">
        <v>19</v>
      </c>
      <c r="J55" s="13" t="n">
        <v>14</v>
      </c>
      <c r="K55" s="13" t="n">
        <v>11</v>
      </c>
      <c r="L55" s="13" t="n">
        <v>16</v>
      </c>
      <c r="M55" s="13" t="n">
        <v>8</v>
      </c>
      <c r="N55" s="13" t="n">
        <v>9</v>
      </c>
      <c r="O55" s="13" t="n">
        <v>21</v>
      </c>
      <c r="P55" s="13" t="n">
        <v>11</v>
      </c>
    </row>
    <row r="56" customFormat="false" ht="15" hidden="false" customHeight="true" outlineLevel="0" collapsed="false">
      <c r="A56" s="11" t="s">
        <v>155</v>
      </c>
      <c r="B56" s="11" t="s">
        <v>156</v>
      </c>
      <c r="C56" s="11" t="s">
        <v>106</v>
      </c>
      <c r="D56" s="11" t="s">
        <v>67</v>
      </c>
      <c r="E56" s="11" t="s">
        <v>38</v>
      </c>
      <c r="F56" s="12" t="n">
        <v>6850</v>
      </c>
      <c r="G56" s="12" t="n">
        <v>9570</v>
      </c>
      <c r="H56" s="11" t="n">
        <v>104</v>
      </c>
      <c r="I56" s="11" t="n">
        <v>5</v>
      </c>
      <c r="J56" s="11" t="n">
        <v>21</v>
      </c>
      <c r="K56" s="11" t="n">
        <v>0</v>
      </c>
      <c r="L56" s="11" t="n">
        <v>5</v>
      </c>
      <c r="M56" s="11" t="n">
        <v>3</v>
      </c>
      <c r="N56" s="11" t="n">
        <v>5</v>
      </c>
      <c r="O56" s="11" t="n">
        <v>5</v>
      </c>
      <c r="P56" s="11" t="n">
        <v>5</v>
      </c>
    </row>
    <row r="57" customFormat="false" ht="15" hidden="false" customHeight="true" outlineLevel="0" collapsed="false">
      <c r="A57" s="13" t="s">
        <v>157</v>
      </c>
      <c r="B57" s="13" t="s">
        <v>158</v>
      </c>
      <c r="C57" s="13" t="s">
        <v>106</v>
      </c>
      <c r="D57" s="13" t="s">
        <v>91</v>
      </c>
      <c r="E57" s="13" t="s">
        <v>54</v>
      </c>
      <c r="F57" s="14" t="n">
        <v>8330</v>
      </c>
      <c r="G57" s="14" t="n">
        <v>14230</v>
      </c>
      <c r="H57" s="13" t="n">
        <v>47</v>
      </c>
      <c r="I57" s="13" t="n">
        <v>22</v>
      </c>
      <c r="J57" s="13" t="n">
        <v>14</v>
      </c>
      <c r="K57" s="13" t="n">
        <v>21</v>
      </c>
      <c r="L57" s="13" t="n">
        <v>19</v>
      </c>
      <c r="M57" s="13" t="n">
        <v>19</v>
      </c>
      <c r="N57" s="13" t="n">
        <v>9</v>
      </c>
      <c r="O57" s="13" t="n">
        <v>15</v>
      </c>
      <c r="P57" s="13" t="n">
        <v>7</v>
      </c>
    </row>
    <row r="58" customFormat="false" ht="15" hidden="false" customHeight="true" outlineLevel="0" collapsed="false">
      <c r="A58" s="11" t="s">
        <v>159</v>
      </c>
      <c r="B58" s="11" t="s">
        <v>160</v>
      </c>
      <c r="C58" s="11" t="s">
        <v>106</v>
      </c>
      <c r="D58" s="11" t="s">
        <v>91</v>
      </c>
      <c r="E58" s="11" t="s">
        <v>38</v>
      </c>
      <c r="F58" s="12" t="n">
        <v>14640</v>
      </c>
      <c r="G58" s="12" t="n">
        <v>29820</v>
      </c>
      <c r="H58" s="11" t="n">
        <v>59</v>
      </c>
      <c r="I58" s="11" t="n">
        <v>23</v>
      </c>
      <c r="J58" s="11" t="n">
        <v>10</v>
      </c>
      <c r="K58" s="11" t="n">
        <v>14</v>
      </c>
      <c r="L58" s="11" t="n">
        <v>14</v>
      </c>
      <c r="M58" s="11" t="n">
        <v>23</v>
      </c>
      <c r="N58" s="11" t="n">
        <v>10</v>
      </c>
      <c r="O58" s="11" t="n">
        <v>14</v>
      </c>
      <c r="P58" s="11" t="n">
        <v>18</v>
      </c>
    </row>
    <row r="59" customFormat="false" ht="15" hidden="false" customHeight="true" outlineLevel="0" collapsed="false">
      <c r="A59" s="13" t="s">
        <v>161</v>
      </c>
      <c r="B59" s="13" t="s">
        <v>162</v>
      </c>
      <c r="C59" s="13" t="s">
        <v>106</v>
      </c>
      <c r="D59" s="13" t="s">
        <v>76</v>
      </c>
      <c r="E59" s="13" t="s">
        <v>38</v>
      </c>
      <c r="F59" s="14" t="n">
        <v>13150</v>
      </c>
      <c r="G59" s="14" t="n">
        <v>23800</v>
      </c>
      <c r="H59" s="13" t="n">
        <v>63</v>
      </c>
      <c r="I59" s="13" t="n">
        <v>28</v>
      </c>
      <c r="J59" s="13" t="n">
        <v>7</v>
      </c>
      <c r="K59" s="13" t="n">
        <v>19</v>
      </c>
      <c r="L59" s="13" t="n">
        <v>20</v>
      </c>
      <c r="M59" s="13" t="n">
        <v>23</v>
      </c>
      <c r="N59" s="13" t="n">
        <v>16</v>
      </c>
      <c r="O59" s="13" t="n">
        <v>16</v>
      </c>
      <c r="P59" s="13" t="n">
        <v>20</v>
      </c>
    </row>
    <row r="60" customFormat="false" ht="15" hidden="false" customHeight="true" outlineLevel="0" collapsed="false">
      <c r="A60" s="11" t="s">
        <v>163</v>
      </c>
      <c r="B60" s="11" t="s">
        <v>164</v>
      </c>
      <c r="C60" s="11" t="s">
        <v>165</v>
      </c>
      <c r="D60" s="11" t="s">
        <v>37</v>
      </c>
      <c r="E60" s="11" t="s">
        <v>34</v>
      </c>
      <c r="F60" s="12" t="n">
        <v>14220</v>
      </c>
      <c r="G60" s="12" t="n">
        <v>28310</v>
      </c>
      <c r="H60" s="11" t="n">
        <v>59</v>
      </c>
      <c r="I60" s="11" t="n">
        <v>5</v>
      </c>
      <c r="J60" s="11" t="n">
        <v>21</v>
      </c>
      <c r="K60" s="11" t="n">
        <v>3</v>
      </c>
      <c r="L60" s="11" t="n">
        <v>4</v>
      </c>
      <c r="M60" s="11" t="n">
        <v>1</v>
      </c>
      <c r="N60" s="11" t="n">
        <v>4</v>
      </c>
      <c r="O60" s="11" t="n">
        <v>5</v>
      </c>
      <c r="P60" s="11" t="n">
        <v>5</v>
      </c>
    </row>
    <row r="61" customFormat="false" ht="15" hidden="false" customHeight="true" outlineLevel="0" collapsed="false">
      <c r="A61" s="13" t="s">
        <v>166</v>
      </c>
      <c r="B61" s="13" t="s">
        <v>167</v>
      </c>
      <c r="C61" s="13" t="s">
        <v>165</v>
      </c>
      <c r="D61" s="13" t="s">
        <v>45</v>
      </c>
      <c r="E61" s="13" t="s">
        <v>54</v>
      </c>
      <c r="F61" s="14" t="n">
        <v>6440</v>
      </c>
      <c r="G61" s="14" t="n">
        <v>12670</v>
      </c>
      <c r="H61" s="13" t="n">
        <v>57</v>
      </c>
      <c r="I61" s="13" t="n">
        <v>21</v>
      </c>
      <c r="J61" s="13" t="n">
        <v>5</v>
      </c>
      <c r="K61" s="13" t="n">
        <v>13</v>
      </c>
      <c r="L61" s="13" t="n">
        <v>15</v>
      </c>
      <c r="M61" s="13" t="n">
        <v>12</v>
      </c>
      <c r="N61" s="13" t="n">
        <v>19</v>
      </c>
      <c r="O61" s="13" t="n">
        <v>9</v>
      </c>
      <c r="P61" s="13" t="n">
        <v>19</v>
      </c>
    </row>
    <row r="62" customFormat="false" ht="15" hidden="false" customHeight="true" outlineLevel="0" collapsed="false">
      <c r="A62" s="11" t="s">
        <v>168</v>
      </c>
      <c r="B62" s="11" t="s">
        <v>169</v>
      </c>
      <c r="C62" s="11" t="s">
        <v>165</v>
      </c>
      <c r="D62" s="11" t="s">
        <v>76</v>
      </c>
      <c r="E62" s="11" t="s">
        <v>38</v>
      </c>
      <c r="F62" s="12" t="n">
        <v>3240</v>
      </c>
      <c r="G62" s="12" t="n">
        <v>6980</v>
      </c>
      <c r="H62" s="11" t="n">
        <v>30</v>
      </c>
      <c r="I62" s="11" t="n">
        <v>19</v>
      </c>
      <c r="J62" s="11" t="n">
        <v>14</v>
      </c>
      <c r="K62" s="11" t="n">
        <v>13</v>
      </c>
      <c r="L62" s="11" t="n">
        <v>10</v>
      </c>
      <c r="M62" s="11" t="n">
        <v>12</v>
      </c>
      <c r="N62" s="11" t="n">
        <v>15</v>
      </c>
      <c r="O62" s="11" t="n">
        <v>10</v>
      </c>
      <c r="P62" s="11" t="n">
        <v>16</v>
      </c>
    </row>
    <row r="63" customFormat="false" ht="15" hidden="false" customHeight="true" outlineLevel="0" collapsed="false">
      <c r="A63" s="13" t="s">
        <v>170</v>
      </c>
      <c r="B63" s="13" t="s">
        <v>171</v>
      </c>
      <c r="C63" s="13" t="s">
        <v>165</v>
      </c>
      <c r="D63" s="13" t="s">
        <v>45</v>
      </c>
      <c r="E63" s="13" t="s">
        <v>38</v>
      </c>
      <c r="F63" s="14" t="n">
        <v>2940</v>
      </c>
      <c r="G63" s="14" t="n">
        <v>4000</v>
      </c>
      <c r="H63" s="13" t="n">
        <v>27</v>
      </c>
      <c r="I63" s="13" t="n">
        <v>25</v>
      </c>
      <c r="J63" s="13" t="n">
        <v>10</v>
      </c>
      <c r="K63" s="13" t="n">
        <v>13</v>
      </c>
      <c r="L63" s="13" t="n">
        <v>18</v>
      </c>
      <c r="M63" s="13" t="n">
        <v>20</v>
      </c>
      <c r="N63" s="13" t="n">
        <v>17</v>
      </c>
      <c r="O63" s="13" t="n">
        <v>12</v>
      </c>
      <c r="P63" s="13" t="n">
        <v>20</v>
      </c>
    </row>
    <row r="64" customFormat="false" ht="15" hidden="false" customHeight="true" outlineLevel="0" collapsed="false">
      <c r="A64" s="11" t="s">
        <v>172</v>
      </c>
      <c r="B64" s="11" t="s">
        <v>173</v>
      </c>
      <c r="C64" s="11" t="s">
        <v>165</v>
      </c>
      <c r="D64" s="11" t="s">
        <v>33</v>
      </c>
      <c r="E64" s="11" t="s">
        <v>54</v>
      </c>
      <c r="F64" s="12" t="n">
        <v>9530</v>
      </c>
      <c r="G64" s="12" t="n">
        <v>16740</v>
      </c>
      <c r="H64" s="11" t="n">
        <v>61</v>
      </c>
      <c r="I64" s="11" t="n">
        <v>18</v>
      </c>
      <c r="J64" s="11" t="n">
        <v>21</v>
      </c>
      <c r="K64" s="11" t="n">
        <v>6</v>
      </c>
      <c r="L64" s="11" t="n">
        <v>12</v>
      </c>
      <c r="M64" s="11" t="n">
        <v>19</v>
      </c>
      <c r="N64" s="11" t="n">
        <v>11</v>
      </c>
      <c r="O64" s="11" t="n">
        <v>17</v>
      </c>
      <c r="P64" s="11" t="n">
        <v>8</v>
      </c>
    </row>
    <row r="65" customFormat="false" ht="15" hidden="false" customHeight="true" outlineLevel="0" collapsed="false">
      <c r="A65" s="13" t="s">
        <v>174</v>
      </c>
      <c r="B65" s="13" t="s">
        <v>175</v>
      </c>
      <c r="C65" s="13" t="s">
        <v>165</v>
      </c>
      <c r="D65" s="13" t="s">
        <v>60</v>
      </c>
      <c r="E65" s="13" t="s">
        <v>34</v>
      </c>
      <c r="F65" s="14" t="n">
        <v>14400</v>
      </c>
      <c r="G65" s="14" t="n">
        <v>24560</v>
      </c>
      <c r="H65" s="13" t="n">
        <v>86</v>
      </c>
      <c r="I65" s="13" t="n">
        <v>7</v>
      </c>
      <c r="J65" s="13" t="n">
        <v>21</v>
      </c>
      <c r="K65" s="13" t="n">
        <v>6</v>
      </c>
      <c r="L65" s="13" t="n">
        <v>0</v>
      </c>
      <c r="M65" s="13" t="n">
        <v>6</v>
      </c>
      <c r="N65" s="13" t="n">
        <v>5</v>
      </c>
      <c r="O65" s="13" t="n">
        <v>7</v>
      </c>
      <c r="P65" s="13" t="n">
        <v>4</v>
      </c>
    </row>
    <row r="66" customFormat="false" ht="15" hidden="false" customHeight="true" outlineLevel="0" collapsed="false">
      <c r="A66" s="11" t="s">
        <v>176</v>
      </c>
      <c r="B66" s="11" t="s">
        <v>177</v>
      </c>
      <c r="C66" s="11" t="s">
        <v>165</v>
      </c>
      <c r="D66" s="11" t="s">
        <v>57</v>
      </c>
      <c r="E66" s="11" t="s">
        <v>38</v>
      </c>
      <c r="F66" s="12" t="n">
        <v>6090</v>
      </c>
      <c r="G66" s="12" t="n">
        <v>9470</v>
      </c>
      <c r="H66" s="11" t="n">
        <v>69</v>
      </c>
      <c r="I66" s="11" t="n">
        <v>21</v>
      </c>
      <c r="J66" s="11" t="n">
        <v>10</v>
      </c>
      <c r="K66" s="11" t="n">
        <v>11</v>
      </c>
      <c r="L66" s="11" t="n">
        <v>20</v>
      </c>
      <c r="M66" s="11" t="n">
        <v>16</v>
      </c>
      <c r="N66" s="11" t="n">
        <v>7</v>
      </c>
      <c r="O66" s="11" t="n">
        <v>17</v>
      </c>
      <c r="P66" s="11" t="n">
        <v>15</v>
      </c>
    </row>
    <row r="67" customFormat="false" ht="15" hidden="false" customHeight="true" outlineLevel="0" collapsed="false">
      <c r="A67" s="13" t="s">
        <v>178</v>
      </c>
      <c r="B67" s="13" t="s">
        <v>179</v>
      </c>
      <c r="C67" s="13" t="s">
        <v>165</v>
      </c>
      <c r="D67" s="13" t="s">
        <v>41</v>
      </c>
      <c r="E67" s="13" t="s">
        <v>54</v>
      </c>
      <c r="F67" s="14" t="n">
        <v>5530</v>
      </c>
      <c r="G67" s="14" t="n">
        <v>10090</v>
      </c>
      <c r="H67" s="13" t="n">
        <v>29</v>
      </c>
      <c r="I67" s="13" t="n">
        <v>51</v>
      </c>
      <c r="J67" s="13" t="n">
        <v>21</v>
      </c>
      <c r="K67" s="13" t="n">
        <v>27</v>
      </c>
      <c r="L67" s="13" t="n">
        <v>56</v>
      </c>
      <c r="M67" s="13" t="n">
        <v>37</v>
      </c>
      <c r="N67" s="13" t="n">
        <v>32</v>
      </c>
      <c r="O67" s="13" t="n">
        <v>24</v>
      </c>
      <c r="P67" s="13" t="n">
        <v>29</v>
      </c>
    </row>
    <row r="68" customFormat="false" ht="15" hidden="false" customHeight="true" outlineLevel="0" collapsed="false">
      <c r="A68" s="11" t="s">
        <v>180</v>
      </c>
      <c r="B68" s="11" t="s">
        <v>181</v>
      </c>
      <c r="C68" s="11" t="s">
        <v>165</v>
      </c>
      <c r="D68" s="11" t="s">
        <v>45</v>
      </c>
      <c r="E68" s="11" t="s">
        <v>38</v>
      </c>
      <c r="F68" s="12" t="n">
        <v>10320</v>
      </c>
      <c r="G68" s="12" t="n">
        <v>21120</v>
      </c>
      <c r="H68" s="11" t="n">
        <v>53</v>
      </c>
      <c r="I68" s="11" t="n">
        <v>5</v>
      </c>
      <c r="J68" s="11" t="n">
        <v>7</v>
      </c>
      <c r="K68" s="11" t="n">
        <v>3</v>
      </c>
      <c r="L68" s="11" t="n">
        <v>1</v>
      </c>
      <c r="M68" s="11" t="n">
        <v>2</v>
      </c>
      <c r="N68" s="11" t="n">
        <v>2</v>
      </c>
      <c r="O68" s="11" t="n">
        <v>2</v>
      </c>
      <c r="P68" s="11" t="n">
        <v>5</v>
      </c>
    </row>
    <row r="69" customFormat="false" ht="15" hidden="false" customHeight="true" outlineLevel="0" collapsed="false">
      <c r="A69" s="13" t="s">
        <v>182</v>
      </c>
      <c r="B69" s="13" t="s">
        <v>183</v>
      </c>
      <c r="C69" s="13" t="s">
        <v>165</v>
      </c>
      <c r="D69" s="13" t="s">
        <v>67</v>
      </c>
      <c r="E69" s="13" t="s">
        <v>42</v>
      </c>
      <c r="F69" s="14" t="n">
        <v>4020</v>
      </c>
      <c r="G69" s="14" t="n">
        <v>5720</v>
      </c>
      <c r="H69" s="13" t="n">
        <v>31</v>
      </c>
      <c r="I69" s="13" t="n">
        <v>55</v>
      </c>
      <c r="J69" s="13" t="n">
        <v>21</v>
      </c>
      <c r="K69" s="13" t="n">
        <v>42</v>
      </c>
      <c r="L69" s="13" t="n">
        <v>36</v>
      </c>
      <c r="M69" s="13" t="n">
        <v>41</v>
      </c>
      <c r="N69" s="13" t="n">
        <v>24</v>
      </c>
      <c r="O69" s="13" t="n">
        <v>41</v>
      </c>
      <c r="P69" s="13" t="n">
        <v>38</v>
      </c>
    </row>
    <row r="70" customFormat="false" ht="15" hidden="false" customHeight="true" outlineLevel="0" collapsed="false">
      <c r="A70" s="11" t="s">
        <v>184</v>
      </c>
      <c r="B70" s="11" t="s">
        <v>185</v>
      </c>
      <c r="C70" s="11" t="s">
        <v>165</v>
      </c>
      <c r="D70" s="11" t="s">
        <v>41</v>
      </c>
      <c r="E70" s="11" t="s">
        <v>38</v>
      </c>
      <c r="F70" s="12" t="n">
        <v>2990</v>
      </c>
      <c r="G70" s="12" t="n">
        <v>4370</v>
      </c>
      <c r="H70" s="11" t="n">
        <v>86</v>
      </c>
      <c r="I70" s="11" t="n">
        <v>5</v>
      </c>
      <c r="J70" s="11" t="n">
        <v>21</v>
      </c>
      <c r="K70" s="11" t="n">
        <v>0</v>
      </c>
      <c r="L70" s="11" t="n">
        <v>0</v>
      </c>
      <c r="M70" s="11" t="n">
        <v>3</v>
      </c>
      <c r="N70" s="11" t="n">
        <v>3</v>
      </c>
      <c r="O70" s="11" t="n">
        <v>1</v>
      </c>
      <c r="P70" s="11" t="n">
        <v>6</v>
      </c>
    </row>
    <row r="71" customFormat="false" ht="15" hidden="false" customHeight="true" outlineLevel="0" collapsed="false">
      <c r="A71" s="13" t="s">
        <v>186</v>
      </c>
      <c r="B71" s="13" t="s">
        <v>187</v>
      </c>
      <c r="C71" s="13" t="s">
        <v>165</v>
      </c>
      <c r="D71" s="13" t="s">
        <v>67</v>
      </c>
      <c r="E71" s="13" t="s">
        <v>34</v>
      </c>
      <c r="F71" s="14" t="n">
        <v>8380</v>
      </c>
      <c r="G71" s="14" t="n">
        <v>13230</v>
      </c>
      <c r="H71" s="13" t="n">
        <v>66</v>
      </c>
      <c r="I71" s="13" t="n">
        <v>5</v>
      </c>
      <c r="J71" s="13" t="n">
        <v>14</v>
      </c>
      <c r="K71" s="13" t="n">
        <v>0</v>
      </c>
      <c r="L71" s="13" t="n">
        <v>4</v>
      </c>
      <c r="M71" s="13" t="n">
        <v>0</v>
      </c>
      <c r="N71" s="13" t="n">
        <v>7</v>
      </c>
      <c r="O71" s="13" t="n">
        <v>6</v>
      </c>
      <c r="P71" s="13" t="n">
        <v>3</v>
      </c>
    </row>
    <row r="72" customFormat="false" ht="15" hidden="false" customHeight="true" outlineLevel="0" collapsed="false">
      <c r="A72" s="11" t="s">
        <v>188</v>
      </c>
      <c r="B72" s="11" t="s">
        <v>189</v>
      </c>
      <c r="C72" s="11" t="s">
        <v>165</v>
      </c>
      <c r="D72" s="11" t="s">
        <v>45</v>
      </c>
      <c r="E72" s="11" t="s">
        <v>54</v>
      </c>
      <c r="F72" s="12" t="n">
        <v>6280</v>
      </c>
      <c r="G72" s="12" t="n">
        <v>8630</v>
      </c>
      <c r="H72" s="11" t="n">
        <v>80</v>
      </c>
      <c r="I72" s="11" t="n">
        <v>21</v>
      </c>
      <c r="J72" s="11" t="n">
        <v>7</v>
      </c>
      <c r="K72" s="11" t="n">
        <v>14</v>
      </c>
      <c r="L72" s="11" t="n">
        <v>17</v>
      </c>
      <c r="M72" s="11" t="n">
        <v>14</v>
      </c>
      <c r="N72" s="11" t="n">
        <v>10</v>
      </c>
      <c r="O72" s="11" t="n">
        <v>15</v>
      </c>
      <c r="P72" s="11" t="n">
        <v>16</v>
      </c>
    </row>
    <row r="73" customFormat="false" ht="15" hidden="false" customHeight="true" outlineLevel="0" collapsed="false">
      <c r="A73" s="13" t="s">
        <v>190</v>
      </c>
      <c r="B73" s="13" t="s">
        <v>191</v>
      </c>
      <c r="C73" s="13" t="s">
        <v>165</v>
      </c>
      <c r="D73" s="13" t="s">
        <v>67</v>
      </c>
      <c r="E73" s="13" t="s">
        <v>48</v>
      </c>
      <c r="F73" s="14" t="n">
        <v>870</v>
      </c>
      <c r="G73" s="14" t="n">
        <v>1190</v>
      </c>
      <c r="H73" s="13" t="n">
        <v>58</v>
      </c>
      <c r="I73" s="13" t="n">
        <v>21</v>
      </c>
      <c r="J73" s="13" t="n">
        <v>5</v>
      </c>
      <c r="K73" s="13" t="n">
        <v>18</v>
      </c>
      <c r="L73" s="13" t="n">
        <v>9</v>
      </c>
      <c r="M73" s="13" t="n">
        <v>14</v>
      </c>
      <c r="N73" s="13" t="n">
        <v>8</v>
      </c>
      <c r="O73" s="13" t="n">
        <v>18</v>
      </c>
      <c r="P73" s="13" t="n">
        <v>17</v>
      </c>
    </row>
    <row r="74" customFormat="false" ht="15" hidden="false" customHeight="true" outlineLevel="0" collapsed="false">
      <c r="A74" s="11" t="s">
        <v>192</v>
      </c>
      <c r="B74" s="11" t="s">
        <v>193</v>
      </c>
      <c r="C74" s="11" t="s">
        <v>165</v>
      </c>
      <c r="D74" s="11" t="s">
        <v>91</v>
      </c>
      <c r="E74" s="11" t="s">
        <v>34</v>
      </c>
      <c r="F74" s="12" t="n">
        <v>7290</v>
      </c>
      <c r="G74" s="12" t="n">
        <v>10200</v>
      </c>
      <c r="H74" s="11" t="n">
        <v>120</v>
      </c>
      <c r="I74" s="11" t="n">
        <v>5</v>
      </c>
      <c r="J74" s="11" t="n">
        <v>21</v>
      </c>
      <c r="K74" s="11" t="n">
        <v>0</v>
      </c>
      <c r="L74" s="11" t="n">
        <v>0</v>
      </c>
      <c r="M74" s="11" t="n">
        <v>1</v>
      </c>
      <c r="N74" s="11" t="n">
        <v>0</v>
      </c>
      <c r="O74" s="11" t="n">
        <v>0</v>
      </c>
      <c r="P74" s="11" t="n">
        <v>0</v>
      </c>
    </row>
    <row r="75" customFormat="false" ht="15" hidden="false" customHeight="true" outlineLevel="0" collapsed="false">
      <c r="A75" s="13" t="s">
        <v>194</v>
      </c>
      <c r="B75" s="13" t="s">
        <v>195</v>
      </c>
      <c r="C75" s="13" t="s">
        <v>165</v>
      </c>
      <c r="D75" s="13" t="s">
        <v>37</v>
      </c>
      <c r="E75" s="13" t="s">
        <v>34</v>
      </c>
      <c r="F75" s="14" t="n">
        <v>4940</v>
      </c>
      <c r="G75" s="14" t="n">
        <v>6430</v>
      </c>
      <c r="H75" s="13" t="n">
        <v>89</v>
      </c>
      <c r="I75" s="13" t="n">
        <v>19</v>
      </c>
      <c r="J75" s="13" t="n">
        <v>21</v>
      </c>
      <c r="K75" s="13" t="n">
        <v>12</v>
      </c>
      <c r="L75" s="13" t="n">
        <v>13</v>
      </c>
      <c r="M75" s="13" t="n">
        <v>12</v>
      </c>
      <c r="N75" s="13" t="n">
        <v>9</v>
      </c>
      <c r="O75" s="13" t="n">
        <v>7</v>
      </c>
      <c r="P75" s="13" t="n">
        <v>24</v>
      </c>
    </row>
    <row r="76" customFormat="false" ht="15" hidden="false" customHeight="true" outlineLevel="0" collapsed="false">
      <c r="A76" s="11" t="s">
        <v>196</v>
      </c>
      <c r="B76" s="11" t="s">
        <v>197</v>
      </c>
      <c r="C76" s="11" t="s">
        <v>165</v>
      </c>
      <c r="D76" s="11" t="s">
        <v>60</v>
      </c>
      <c r="E76" s="11" t="s">
        <v>34</v>
      </c>
      <c r="F76" s="12" t="n">
        <v>6340</v>
      </c>
      <c r="G76" s="12" t="n">
        <v>10920</v>
      </c>
      <c r="H76" s="11" t="n">
        <v>100</v>
      </c>
      <c r="I76" s="11" t="n">
        <v>25</v>
      </c>
      <c r="J76" s="11" t="n">
        <v>5</v>
      </c>
      <c r="K76" s="11" t="n">
        <v>18</v>
      </c>
      <c r="L76" s="11" t="n">
        <v>14</v>
      </c>
      <c r="M76" s="11" t="n">
        <v>23</v>
      </c>
      <c r="N76" s="11" t="n">
        <v>15</v>
      </c>
      <c r="O76" s="11" t="n">
        <v>10</v>
      </c>
      <c r="P76" s="11" t="n">
        <v>21</v>
      </c>
    </row>
    <row r="77" customFormat="false" ht="15" hidden="false" customHeight="true" outlineLevel="0" collapsed="false">
      <c r="A77" s="13" t="s">
        <v>198</v>
      </c>
      <c r="B77" s="13" t="s">
        <v>199</v>
      </c>
      <c r="C77" s="13" t="s">
        <v>165</v>
      </c>
      <c r="D77" s="13" t="s">
        <v>51</v>
      </c>
      <c r="E77" s="13" t="s">
        <v>38</v>
      </c>
      <c r="F77" s="14" t="n">
        <v>1420</v>
      </c>
      <c r="G77" s="14" t="n">
        <v>2100</v>
      </c>
      <c r="H77" s="13" t="n">
        <v>22</v>
      </c>
      <c r="I77" s="13" t="n">
        <v>66</v>
      </c>
      <c r="J77" s="13" t="n">
        <v>10</v>
      </c>
      <c r="K77" s="13" t="n">
        <v>48</v>
      </c>
      <c r="L77" s="13" t="n">
        <v>36</v>
      </c>
      <c r="M77" s="13" t="n">
        <v>49</v>
      </c>
      <c r="N77" s="13" t="n">
        <v>39</v>
      </c>
      <c r="O77" s="13" t="n">
        <v>39</v>
      </c>
      <c r="P77" s="13" t="n">
        <v>53</v>
      </c>
    </row>
    <row r="78" customFormat="false" ht="15" hidden="false" customHeight="true" outlineLevel="0" collapsed="false">
      <c r="A78" s="11" t="s">
        <v>200</v>
      </c>
      <c r="B78" s="11" t="s">
        <v>201</v>
      </c>
      <c r="C78" s="11" t="s">
        <v>165</v>
      </c>
      <c r="D78" s="11" t="s">
        <v>76</v>
      </c>
      <c r="E78" s="11" t="s">
        <v>38</v>
      </c>
      <c r="F78" s="12" t="n">
        <v>4680</v>
      </c>
      <c r="G78" s="12" t="n">
        <v>9450</v>
      </c>
      <c r="H78" s="11" t="n">
        <v>67</v>
      </c>
      <c r="I78" s="11" t="n">
        <v>24</v>
      </c>
      <c r="J78" s="11" t="n">
        <v>21</v>
      </c>
      <c r="K78" s="11" t="n">
        <v>10</v>
      </c>
      <c r="L78" s="11" t="n">
        <v>18</v>
      </c>
      <c r="M78" s="11" t="n">
        <v>19</v>
      </c>
      <c r="N78" s="11" t="n">
        <v>13</v>
      </c>
      <c r="O78" s="11" t="n">
        <v>17</v>
      </c>
      <c r="P78" s="11" t="n">
        <v>22</v>
      </c>
    </row>
    <row r="79" customFormat="false" ht="15" hidden="false" customHeight="true" outlineLevel="0" collapsed="false">
      <c r="A79" s="13" t="s">
        <v>202</v>
      </c>
      <c r="B79" s="13" t="s">
        <v>203</v>
      </c>
      <c r="C79" s="13" t="s">
        <v>165</v>
      </c>
      <c r="D79" s="13" t="s">
        <v>45</v>
      </c>
      <c r="E79" s="13" t="s">
        <v>42</v>
      </c>
      <c r="F79" s="14" t="n">
        <v>1400</v>
      </c>
      <c r="G79" s="14" t="n">
        <v>2920</v>
      </c>
      <c r="H79" s="13" t="n">
        <v>66</v>
      </c>
      <c r="I79" s="13" t="n">
        <v>28</v>
      </c>
      <c r="J79" s="13" t="n">
        <v>21</v>
      </c>
      <c r="K79" s="13" t="n">
        <v>19</v>
      </c>
      <c r="L79" s="13" t="n">
        <v>14</v>
      </c>
      <c r="M79" s="13" t="n">
        <v>27</v>
      </c>
      <c r="N79" s="13" t="n">
        <v>13</v>
      </c>
      <c r="O79" s="13" t="n">
        <v>21</v>
      </c>
      <c r="P79" s="13" t="n">
        <v>18</v>
      </c>
    </row>
    <row r="80" customFormat="false" ht="15" hidden="false" customHeight="true" outlineLevel="0" collapsed="false">
      <c r="A80" s="11" t="s">
        <v>204</v>
      </c>
      <c r="B80" s="11" t="s">
        <v>205</v>
      </c>
      <c r="C80" s="11" t="s">
        <v>165</v>
      </c>
      <c r="D80" s="11" t="s">
        <v>57</v>
      </c>
      <c r="E80" s="11" t="s">
        <v>38</v>
      </c>
      <c r="F80" s="12" t="n">
        <v>10430</v>
      </c>
      <c r="G80" s="12" t="n">
        <v>17670</v>
      </c>
      <c r="H80" s="11" t="n">
        <v>38</v>
      </c>
      <c r="I80" s="11" t="n">
        <v>64</v>
      </c>
      <c r="J80" s="11" t="n">
        <v>10</v>
      </c>
      <c r="K80" s="11" t="n">
        <v>41</v>
      </c>
      <c r="L80" s="11" t="n">
        <v>51</v>
      </c>
      <c r="M80" s="11" t="n">
        <v>27</v>
      </c>
      <c r="N80" s="11" t="n">
        <v>54</v>
      </c>
      <c r="O80" s="11" t="n">
        <v>44</v>
      </c>
      <c r="P80" s="11" t="n">
        <v>40</v>
      </c>
    </row>
    <row r="81" customFormat="false" ht="15" hidden="false" customHeight="true" outlineLevel="0" collapsed="false">
      <c r="A81" s="13" t="s">
        <v>206</v>
      </c>
      <c r="B81" s="13" t="s">
        <v>207</v>
      </c>
      <c r="C81" s="13" t="s">
        <v>165</v>
      </c>
      <c r="D81" s="13" t="s">
        <v>67</v>
      </c>
      <c r="E81" s="13" t="s">
        <v>38</v>
      </c>
      <c r="F81" s="14" t="n">
        <v>8950</v>
      </c>
      <c r="G81" s="14" t="n">
        <v>15900</v>
      </c>
      <c r="H81" s="13" t="n">
        <v>91</v>
      </c>
      <c r="I81" s="13" t="n">
        <v>22</v>
      </c>
      <c r="J81" s="13" t="n">
        <v>5</v>
      </c>
      <c r="K81" s="13" t="n">
        <v>12</v>
      </c>
      <c r="L81" s="13" t="n">
        <v>11</v>
      </c>
      <c r="M81" s="13" t="n">
        <v>21</v>
      </c>
      <c r="N81" s="13" t="n">
        <v>20</v>
      </c>
      <c r="O81" s="13" t="n">
        <v>10</v>
      </c>
      <c r="P81" s="13" t="n">
        <v>15</v>
      </c>
    </row>
    <row r="82" customFormat="false" ht="15" hidden="false" customHeight="true" outlineLevel="0" collapsed="false">
      <c r="A82" s="11" t="s">
        <v>208</v>
      </c>
      <c r="B82" s="11" t="s">
        <v>209</v>
      </c>
      <c r="C82" s="11" t="s">
        <v>165</v>
      </c>
      <c r="D82" s="11" t="s">
        <v>51</v>
      </c>
      <c r="E82" s="11" t="s">
        <v>38</v>
      </c>
      <c r="F82" s="12" t="n">
        <v>3850</v>
      </c>
      <c r="G82" s="12" t="n">
        <v>7130</v>
      </c>
      <c r="H82" s="11" t="n">
        <v>41</v>
      </c>
      <c r="I82" s="11" t="n">
        <v>6</v>
      </c>
      <c r="J82" s="11" t="n">
        <v>10</v>
      </c>
      <c r="K82" s="11" t="n">
        <v>5</v>
      </c>
      <c r="L82" s="11" t="n">
        <v>3</v>
      </c>
      <c r="M82" s="11" t="n">
        <v>4</v>
      </c>
      <c r="N82" s="11" t="n">
        <v>4</v>
      </c>
      <c r="O82" s="11" t="n">
        <v>5</v>
      </c>
      <c r="P82" s="11" t="n">
        <v>6</v>
      </c>
    </row>
    <row r="83" customFormat="false" ht="15" hidden="false" customHeight="true" outlineLevel="0" collapsed="false">
      <c r="A83" s="13" t="s">
        <v>210</v>
      </c>
      <c r="B83" s="13" t="s">
        <v>211</v>
      </c>
      <c r="C83" s="13" t="s">
        <v>165</v>
      </c>
      <c r="D83" s="13" t="s">
        <v>33</v>
      </c>
      <c r="E83" s="13" t="s">
        <v>42</v>
      </c>
      <c r="F83" s="14" t="n">
        <v>8500</v>
      </c>
      <c r="G83" s="14" t="n">
        <v>17870</v>
      </c>
      <c r="H83" s="13" t="n">
        <v>55</v>
      </c>
      <c r="I83" s="13" t="n">
        <v>5</v>
      </c>
      <c r="J83" s="13" t="n">
        <v>7</v>
      </c>
      <c r="K83" s="13" t="n">
        <v>2</v>
      </c>
      <c r="L83" s="13" t="n">
        <v>0</v>
      </c>
      <c r="M83" s="13" t="n">
        <v>1</v>
      </c>
      <c r="N83" s="13" t="n">
        <v>1</v>
      </c>
      <c r="O83" s="13" t="n">
        <v>2</v>
      </c>
      <c r="P83" s="13" t="n">
        <v>3</v>
      </c>
    </row>
    <row r="84" customFormat="false" ht="15" hidden="false" customHeight="true" outlineLevel="0" collapsed="false">
      <c r="A84" s="11" t="s">
        <v>212</v>
      </c>
      <c r="B84" s="11" t="s">
        <v>213</v>
      </c>
      <c r="C84" s="11" t="s">
        <v>165</v>
      </c>
      <c r="D84" s="11" t="s">
        <v>67</v>
      </c>
      <c r="E84" s="11" t="s">
        <v>54</v>
      </c>
      <c r="F84" s="12" t="n">
        <v>5920</v>
      </c>
      <c r="G84" s="12" t="n">
        <v>10750</v>
      </c>
      <c r="H84" s="11" t="n">
        <v>81</v>
      </c>
      <c r="I84" s="11" t="n">
        <v>21</v>
      </c>
      <c r="J84" s="11" t="n">
        <v>21</v>
      </c>
      <c r="K84" s="11" t="n">
        <v>17</v>
      </c>
      <c r="L84" s="11" t="n">
        <v>14</v>
      </c>
      <c r="M84" s="11" t="n">
        <v>16</v>
      </c>
      <c r="N84" s="11" t="n">
        <v>13</v>
      </c>
      <c r="O84" s="11" t="n">
        <v>8</v>
      </c>
      <c r="P84" s="11" t="n">
        <v>19</v>
      </c>
    </row>
    <row r="85" customFormat="false" ht="15" hidden="false" customHeight="true" outlineLevel="0" collapsed="false">
      <c r="A85" s="13" t="s">
        <v>214</v>
      </c>
      <c r="B85" s="13" t="s">
        <v>215</v>
      </c>
      <c r="C85" s="13" t="s">
        <v>165</v>
      </c>
      <c r="D85" s="13" t="s">
        <v>91</v>
      </c>
      <c r="E85" s="13" t="s">
        <v>54</v>
      </c>
      <c r="F85" s="14" t="n">
        <v>1850</v>
      </c>
      <c r="G85" s="14" t="n">
        <v>4020</v>
      </c>
      <c r="H85" s="13" t="n">
        <v>43</v>
      </c>
      <c r="I85" s="13" t="n">
        <v>19</v>
      </c>
      <c r="J85" s="13" t="n">
        <v>7</v>
      </c>
      <c r="K85" s="13" t="n">
        <v>7</v>
      </c>
      <c r="L85" s="13" t="n">
        <v>17</v>
      </c>
      <c r="M85" s="13" t="n">
        <v>9</v>
      </c>
      <c r="N85" s="13" t="n">
        <v>23</v>
      </c>
      <c r="O85" s="13" t="n">
        <v>16</v>
      </c>
      <c r="P85" s="13" t="n">
        <v>7</v>
      </c>
    </row>
    <row r="86" customFormat="false" ht="15" hidden="false" customHeight="true" outlineLevel="0" collapsed="false">
      <c r="A86" s="11" t="s">
        <v>216</v>
      </c>
      <c r="B86" s="11" t="s">
        <v>217</v>
      </c>
      <c r="C86" s="11" t="s">
        <v>165</v>
      </c>
      <c r="D86" s="11" t="s">
        <v>60</v>
      </c>
      <c r="E86" s="11" t="s">
        <v>42</v>
      </c>
      <c r="F86" s="12" t="n">
        <v>12610</v>
      </c>
      <c r="G86" s="12" t="n">
        <v>22270</v>
      </c>
      <c r="H86" s="11" t="n">
        <v>30</v>
      </c>
      <c r="I86" s="11" t="n">
        <v>27</v>
      </c>
      <c r="J86" s="11" t="n">
        <v>10</v>
      </c>
      <c r="K86" s="11" t="n">
        <v>21</v>
      </c>
      <c r="L86" s="11" t="n">
        <v>24</v>
      </c>
      <c r="M86" s="11" t="n">
        <v>16</v>
      </c>
      <c r="N86" s="11" t="n">
        <v>26</v>
      </c>
      <c r="O86" s="11" t="n">
        <v>10</v>
      </c>
      <c r="P86" s="11" t="n">
        <v>14</v>
      </c>
    </row>
    <row r="87" customFormat="false" ht="15" hidden="false" customHeight="true" outlineLevel="0" collapsed="false">
      <c r="A87" s="13" t="s">
        <v>218</v>
      </c>
      <c r="B87" s="13" t="s">
        <v>219</v>
      </c>
      <c r="C87" s="13" t="s">
        <v>165</v>
      </c>
      <c r="D87" s="13" t="s">
        <v>60</v>
      </c>
      <c r="E87" s="13" t="s">
        <v>34</v>
      </c>
      <c r="F87" s="14" t="n">
        <v>2580</v>
      </c>
      <c r="G87" s="14" t="n">
        <v>4060</v>
      </c>
      <c r="H87" s="13" t="n">
        <v>97</v>
      </c>
      <c r="I87" s="13" t="n">
        <v>18</v>
      </c>
      <c r="J87" s="13" t="n">
        <v>10</v>
      </c>
      <c r="K87" s="13" t="n">
        <v>11</v>
      </c>
      <c r="L87" s="13" t="n">
        <v>14</v>
      </c>
      <c r="M87" s="13" t="n">
        <v>17</v>
      </c>
      <c r="N87" s="13" t="n">
        <v>13</v>
      </c>
      <c r="O87" s="13" t="n">
        <v>10</v>
      </c>
      <c r="P87" s="13" t="n">
        <v>8</v>
      </c>
    </row>
    <row r="88" customFormat="false" ht="15" hidden="false" customHeight="true" outlineLevel="0" collapsed="false">
      <c r="A88" s="11" t="s">
        <v>220</v>
      </c>
      <c r="B88" s="11" t="s">
        <v>221</v>
      </c>
      <c r="C88" s="11" t="s">
        <v>165</v>
      </c>
      <c r="D88" s="11" t="s">
        <v>76</v>
      </c>
      <c r="E88" s="11" t="s">
        <v>54</v>
      </c>
      <c r="F88" s="12" t="n">
        <v>1450</v>
      </c>
      <c r="G88" s="12" t="n">
        <v>2720</v>
      </c>
      <c r="H88" s="11" t="n">
        <v>57</v>
      </c>
      <c r="I88" s="11" t="n">
        <v>16</v>
      </c>
      <c r="J88" s="11" t="n">
        <v>10</v>
      </c>
      <c r="K88" s="11" t="n">
        <v>10</v>
      </c>
      <c r="L88" s="11" t="n">
        <v>8</v>
      </c>
      <c r="M88" s="11" t="n">
        <v>8</v>
      </c>
      <c r="N88" s="11" t="n">
        <v>18</v>
      </c>
      <c r="O88" s="11" t="n">
        <v>7</v>
      </c>
      <c r="P88" s="11" t="n">
        <v>15</v>
      </c>
    </row>
    <row r="89" customFormat="false" ht="15" hidden="false" customHeight="true" outlineLevel="0" collapsed="false">
      <c r="A89" s="13" t="s">
        <v>222</v>
      </c>
      <c r="B89" s="13" t="s">
        <v>223</v>
      </c>
      <c r="C89" s="13" t="s">
        <v>165</v>
      </c>
      <c r="D89" s="13" t="s">
        <v>37</v>
      </c>
      <c r="E89" s="13" t="s">
        <v>54</v>
      </c>
      <c r="F89" s="14" t="n">
        <v>5020</v>
      </c>
      <c r="G89" s="14" t="n">
        <v>6860</v>
      </c>
      <c r="H89" s="13" t="n">
        <v>56</v>
      </c>
      <c r="I89" s="13" t="n">
        <v>63</v>
      </c>
      <c r="J89" s="13" t="n">
        <v>10</v>
      </c>
      <c r="K89" s="13" t="n">
        <v>31</v>
      </c>
      <c r="L89" s="13" t="n">
        <v>43</v>
      </c>
      <c r="M89" s="13" t="n">
        <v>43</v>
      </c>
      <c r="N89" s="13" t="n">
        <v>50</v>
      </c>
      <c r="O89" s="13" t="n">
        <v>35</v>
      </c>
      <c r="P89" s="13" t="n">
        <v>51</v>
      </c>
    </row>
    <row r="90" customFormat="false" ht="15" hidden="false" customHeight="true" outlineLevel="0" collapsed="false">
      <c r="A90" s="11" t="s">
        <v>224</v>
      </c>
      <c r="B90" s="11" t="s">
        <v>225</v>
      </c>
      <c r="C90" s="11" t="s">
        <v>165</v>
      </c>
      <c r="D90" s="11" t="s">
        <v>45</v>
      </c>
      <c r="E90" s="11" t="s">
        <v>42</v>
      </c>
      <c r="F90" s="12" t="n">
        <v>11040</v>
      </c>
      <c r="G90" s="12" t="n">
        <v>16240</v>
      </c>
      <c r="H90" s="11" t="n">
        <v>39</v>
      </c>
      <c r="I90" s="11" t="n">
        <v>64</v>
      </c>
      <c r="J90" s="11" t="n">
        <v>7</v>
      </c>
      <c r="K90" s="11" t="n">
        <v>48</v>
      </c>
      <c r="L90" s="11" t="n">
        <v>39</v>
      </c>
      <c r="M90" s="11" t="n">
        <v>46</v>
      </c>
      <c r="N90" s="11" t="n">
        <v>33</v>
      </c>
      <c r="O90" s="11" t="n">
        <v>46</v>
      </c>
      <c r="P90" s="11" t="n">
        <v>44</v>
      </c>
    </row>
    <row r="91" customFormat="false" ht="15" hidden="false" customHeight="true" outlineLevel="0" collapsed="false">
      <c r="A91" s="13" t="s">
        <v>226</v>
      </c>
      <c r="B91" s="13" t="s">
        <v>227</v>
      </c>
      <c r="C91" s="13" t="s">
        <v>165</v>
      </c>
      <c r="D91" s="13" t="s">
        <v>41</v>
      </c>
      <c r="E91" s="13" t="s">
        <v>54</v>
      </c>
      <c r="F91" s="14" t="n">
        <v>1490</v>
      </c>
      <c r="G91" s="14" t="n">
        <v>2310</v>
      </c>
      <c r="H91" s="13" t="n">
        <v>53</v>
      </c>
      <c r="I91" s="13" t="n">
        <v>22</v>
      </c>
      <c r="J91" s="13" t="n">
        <v>10</v>
      </c>
      <c r="K91" s="13" t="n">
        <v>19</v>
      </c>
      <c r="L91" s="13" t="n">
        <v>8</v>
      </c>
      <c r="M91" s="13" t="n">
        <v>14</v>
      </c>
      <c r="N91" s="13" t="n">
        <v>15</v>
      </c>
      <c r="O91" s="13" t="n">
        <v>17</v>
      </c>
      <c r="P91" s="13" t="n">
        <v>16</v>
      </c>
    </row>
    <row r="92" customFormat="false" ht="15" hidden="false" customHeight="true" outlineLevel="0" collapsed="false">
      <c r="A92" s="11" t="s">
        <v>228</v>
      </c>
      <c r="B92" s="11" t="s">
        <v>229</v>
      </c>
      <c r="C92" s="11" t="s">
        <v>165</v>
      </c>
      <c r="D92" s="11" t="s">
        <v>45</v>
      </c>
      <c r="E92" s="11" t="s">
        <v>48</v>
      </c>
      <c r="F92" s="12" t="n">
        <v>6490</v>
      </c>
      <c r="G92" s="12" t="n">
        <v>11770</v>
      </c>
      <c r="H92" s="11" t="n">
        <v>53</v>
      </c>
      <c r="I92" s="11" t="n">
        <v>59</v>
      </c>
      <c r="J92" s="11" t="n">
        <v>21</v>
      </c>
      <c r="K92" s="11" t="n">
        <v>37</v>
      </c>
      <c r="L92" s="11" t="n">
        <v>38</v>
      </c>
      <c r="M92" s="11" t="n">
        <v>26</v>
      </c>
      <c r="N92" s="11" t="n">
        <v>39</v>
      </c>
      <c r="O92" s="11" t="n">
        <v>35</v>
      </c>
      <c r="P92" s="11" t="n">
        <v>63</v>
      </c>
    </row>
    <row r="93" customFormat="false" ht="15" hidden="false" customHeight="true" outlineLevel="0" collapsed="false">
      <c r="A93" s="13" t="s">
        <v>230</v>
      </c>
      <c r="B93" s="13" t="s">
        <v>231</v>
      </c>
      <c r="C93" s="13" t="s">
        <v>165</v>
      </c>
      <c r="D93" s="13" t="s">
        <v>57</v>
      </c>
      <c r="E93" s="13" t="s">
        <v>54</v>
      </c>
      <c r="F93" s="14" t="n">
        <v>6390</v>
      </c>
      <c r="G93" s="14" t="n">
        <v>12880</v>
      </c>
      <c r="H93" s="13" t="n">
        <v>37</v>
      </c>
      <c r="I93" s="13" t="n">
        <v>24</v>
      </c>
      <c r="J93" s="13" t="n">
        <v>10</v>
      </c>
      <c r="K93" s="13" t="n">
        <v>22</v>
      </c>
      <c r="L93" s="13" t="n">
        <v>11</v>
      </c>
      <c r="M93" s="13" t="n">
        <v>16</v>
      </c>
      <c r="N93" s="13" t="n">
        <v>20</v>
      </c>
      <c r="O93" s="13" t="n">
        <v>13</v>
      </c>
      <c r="P93" s="13" t="n">
        <v>14</v>
      </c>
    </row>
    <row r="94" customFormat="false" ht="15" hidden="false" customHeight="true" outlineLevel="0" collapsed="false">
      <c r="A94" s="11" t="s">
        <v>232</v>
      </c>
      <c r="B94" s="11" t="s">
        <v>233</v>
      </c>
      <c r="C94" s="11" t="s">
        <v>165</v>
      </c>
      <c r="D94" s="11" t="s">
        <v>60</v>
      </c>
      <c r="E94" s="11" t="s">
        <v>34</v>
      </c>
      <c r="F94" s="12" t="n">
        <v>2910</v>
      </c>
      <c r="G94" s="12" t="n">
        <v>6120</v>
      </c>
      <c r="H94" s="11" t="n">
        <v>42</v>
      </c>
      <c r="I94" s="11" t="n">
        <v>59</v>
      </c>
      <c r="J94" s="11" t="n">
        <v>21</v>
      </c>
      <c r="K94" s="11" t="n">
        <v>46</v>
      </c>
      <c r="L94" s="11" t="n">
        <v>37</v>
      </c>
      <c r="M94" s="11" t="n">
        <v>31</v>
      </c>
      <c r="N94" s="11" t="n">
        <v>46</v>
      </c>
      <c r="O94" s="11" t="n">
        <v>45</v>
      </c>
      <c r="P94" s="11" t="n">
        <v>31</v>
      </c>
    </row>
    <row r="95" customFormat="false" ht="15" hidden="false" customHeight="true" outlineLevel="0" collapsed="false">
      <c r="A95" s="13" t="s">
        <v>234</v>
      </c>
      <c r="B95" s="13" t="s">
        <v>235</v>
      </c>
      <c r="C95" s="13" t="s">
        <v>236</v>
      </c>
      <c r="D95" s="13" t="s">
        <v>41</v>
      </c>
      <c r="E95" s="13" t="s">
        <v>38</v>
      </c>
      <c r="F95" s="14" t="n">
        <v>7540</v>
      </c>
      <c r="G95" s="14" t="n">
        <v>9910</v>
      </c>
      <c r="H95" s="13" t="n">
        <v>96</v>
      </c>
      <c r="I95" s="13" t="n">
        <v>25</v>
      </c>
      <c r="J95" s="13" t="n">
        <v>14</v>
      </c>
      <c r="K95" s="13" t="n">
        <v>19</v>
      </c>
      <c r="L95" s="13" t="n">
        <v>18</v>
      </c>
      <c r="M95" s="13" t="n">
        <v>11</v>
      </c>
      <c r="N95" s="13" t="n">
        <v>25</v>
      </c>
      <c r="O95" s="13" t="n">
        <v>19</v>
      </c>
      <c r="P95" s="13" t="n">
        <v>9</v>
      </c>
    </row>
    <row r="96" customFormat="false" ht="15" hidden="false" customHeight="true" outlineLevel="0" collapsed="false">
      <c r="A96" s="11" t="s">
        <v>237</v>
      </c>
      <c r="B96" s="11" t="s">
        <v>238</v>
      </c>
      <c r="C96" s="11" t="s">
        <v>236</v>
      </c>
      <c r="D96" s="11" t="s">
        <v>41</v>
      </c>
      <c r="E96" s="11" t="s">
        <v>42</v>
      </c>
      <c r="F96" s="12" t="n">
        <v>4030</v>
      </c>
      <c r="G96" s="12" t="n">
        <v>5430</v>
      </c>
      <c r="H96" s="11" t="n">
        <v>93</v>
      </c>
      <c r="I96" s="11" t="n">
        <v>18</v>
      </c>
      <c r="J96" s="11" t="n">
        <v>5</v>
      </c>
      <c r="K96" s="11" t="n">
        <v>7</v>
      </c>
      <c r="L96" s="11" t="n">
        <v>13</v>
      </c>
      <c r="M96" s="11" t="n">
        <v>15</v>
      </c>
      <c r="N96" s="11" t="n">
        <v>10</v>
      </c>
      <c r="O96" s="11" t="n">
        <v>16</v>
      </c>
      <c r="P96" s="11" t="n">
        <v>11</v>
      </c>
    </row>
    <row r="97" customFormat="false" ht="15" hidden="false" customHeight="true" outlineLevel="0" collapsed="false">
      <c r="A97" s="13" t="s">
        <v>239</v>
      </c>
      <c r="B97" s="13" t="s">
        <v>240</v>
      </c>
      <c r="C97" s="13" t="s">
        <v>236</v>
      </c>
      <c r="D97" s="13" t="s">
        <v>60</v>
      </c>
      <c r="E97" s="13" t="s">
        <v>54</v>
      </c>
      <c r="F97" s="14" t="n">
        <v>14970</v>
      </c>
      <c r="G97" s="14" t="n">
        <v>25910</v>
      </c>
      <c r="H97" s="13" t="n">
        <v>53</v>
      </c>
      <c r="I97" s="13" t="n">
        <v>17</v>
      </c>
      <c r="J97" s="13" t="n">
        <v>21</v>
      </c>
      <c r="K97" s="13" t="n">
        <v>20</v>
      </c>
      <c r="L97" s="13" t="n">
        <v>13</v>
      </c>
      <c r="M97" s="13" t="n">
        <v>8</v>
      </c>
      <c r="N97" s="13" t="n">
        <v>13</v>
      </c>
      <c r="O97" s="13" t="n">
        <v>10</v>
      </c>
      <c r="P97" s="13" t="n">
        <v>6</v>
      </c>
    </row>
    <row r="98" customFormat="false" ht="15" hidden="false" customHeight="true" outlineLevel="0" collapsed="false">
      <c r="A98" s="11" t="s">
        <v>241</v>
      </c>
      <c r="B98" s="11" t="s">
        <v>242</v>
      </c>
      <c r="C98" s="11" t="s">
        <v>236</v>
      </c>
      <c r="D98" s="11" t="s">
        <v>45</v>
      </c>
      <c r="E98" s="11" t="s">
        <v>48</v>
      </c>
      <c r="F98" s="12" t="n">
        <v>5750</v>
      </c>
      <c r="G98" s="12" t="n">
        <v>12310</v>
      </c>
      <c r="H98" s="11" t="n">
        <v>48</v>
      </c>
      <c r="I98" s="11" t="n">
        <v>5</v>
      </c>
      <c r="J98" s="11" t="n">
        <v>10</v>
      </c>
      <c r="K98" s="11" t="n">
        <v>3</v>
      </c>
      <c r="L98" s="11" t="n">
        <v>5</v>
      </c>
      <c r="M98" s="11" t="n">
        <v>3</v>
      </c>
      <c r="N98" s="11" t="n">
        <v>2</v>
      </c>
      <c r="O98" s="11" t="n">
        <v>7</v>
      </c>
      <c r="P98" s="11" t="n">
        <v>3</v>
      </c>
    </row>
    <row r="99" customFormat="false" ht="15" hidden="false" customHeight="true" outlineLevel="0" collapsed="false">
      <c r="A99" s="13" t="s">
        <v>243</v>
      </c>
      <c r="B99" s="13" t="s">
        <v>244</v>
      </c>
      <c r="C99" s="13" t="s">
        <v>236</v>
      </c>
      <c r="D99" s="13" t="s">
        <v>37</v>
      </c>
      <c r="E99" s="13" t="s">
        <v>54</v>
      </c>
      <c r="F99" s="14" t="n">
        <v>10310</v>
      </c>
      <c r="G99" s="14" t="n">
        <v>18330</v>
      </c>
      <c r="H99" s="13" t="n">
        <v>90</v>
      </c>
      <c r="I99" s="13" t="n">
        <v>22</v>
      </c>
      <c r="J99" s="13" t="n">
        <v>7</v>
      </c>
      <c r="K99" s="13" t="n">
        <v>19</v>
      </c>
      <c r="L99" s="13" t="n">
        <v>16</v>
      </c>
      <c r="M99" s="13" t="n">
        <v>14</v>
      </c>
      <c r="N99" s="13" t="n">
        <v>12</v>
      </c>
      <c r="O99" s="13" t="n">
        <v>15</v>
      </c>
      <c r="P99" s="13" t="n">
        <v>14</v>
      </c>
    </row>
    <row r="100" customFormat="false" ht="15" hidden="false" customHeight="true" outlineLevel="0" collapsed="false">
      <c r="A100" s="11" t="s">
        <v>245</v>
      </c>
      <c r="B100" s="11" t="s">
        <v>246</v>
      </c>
      <c r="C100" s="11" t="s">
        <v>236</v>
      </c>
      <c r="D100" s="11" t="s">
        <v>76</v>
      </c>
      <c r="E100" s="11" t="s">
        <v>54</v>
      </c>
      <c r="F100" s="12" t="n">
        <v>11990</v>
      </c>
      <c r="G100" s="12" t="n">
        <v>17600</v>
      </c>
      <c r="H100" s="11" t="n">
        <v>72</v>
      </c>
      <c r="I100" s="11" t="n">
        <v>5</v>
      </c>
      <c r="J100" s="11" t="n">
        <v>10</v>
      </c>
      <c r="K100" s="11" t="n">
        <v>5</v>
      </c>
      <c r="L100" s="11" t="n">
        <v>2</v>
      </c>
      <c r="M100" s="11" t="n">
        <v>5</v>
      </c>
      <c r="N100" s="11" t="n">
        <v>4</v>
      </c>
      <c r="O100" s="11" t="n">
        <v>0</v>
      </c>
      <c r="P100" s="11" t="n">
        <v>1</v>
      </c>
    </row>
    <row r="101" customFormat="false" ht="15" hidden="false" customHeight="true" outlineLevel="0" collapsed="false">
      <c r="A101" s="13" t="s">
        <v>247</v>
      </c>
      <c r="B101" s="13" t="s">
        <v>248</v>
      </c>
      <c r="C101" s="13" t="s">
        <v>236</v>
      </c>
      <c r="D101" s="13" t="s">
        <v>60</v>
      </c>
      <c r="E101" s="13" t="s">
        <v>38</v>
      </c>
      <c r="F101" s="14" t="n">
        <v>7810</v>
      </c>
      <c r="G101" s="14" t="n">
        <v>16750</v>
      </c>
      <c r="H101" s="13" t="n">
        <v>53</v>
      </c>
      <c r="I101" s="13" t="n">
        <v>5</v>
      </c>
      <c r="J101" s="13" t="n">
        <v>5</v>
      </c>
      <c r="K101" s="13" t="n">
        <v>2</v>
      </c>
      <c r="L101" s="13" t="n">
        <v>4</v>
      </c>
      <c r="M101" s="13" t="n">
        <v>4</v>
      </c>
      <c r="N101" s="13" t="n">
        <v>4</v>
      </c>
      <c r="O101" s="13" t="n">
        <v>2</v>
      </c>
      <c r="P101" s="13" t="n">
        <v>4</v>
      </c>
    </row>
    <row r="102" customFormat="false" ht="15" hidden="false" customHeight="true" outlineLevel="0" collapsed="false">
      <c r="A102" s="11" t="s">
        <v>249</v>
      </c>
      <c r="B102" s="11" t="s">
        <v>250</v>
      </c>
      <c r="C102" s="11" t="s">
        <v>236</v>
      </c>
      <c r="D102" s="11" t="s">
        <v>51</v>
      </c>
      <c r="E102" s="11" t="s">
        <v>38</v>
      </c>
      <c r="F102" s="12" t="n">
        <v>10380</v>
      </c>
      <c r="G102" s="12" t="n">
        <v>15300</v>
      </c>
      <c r="H102" s="11" t="n">
        <v>37</v>
      </c>
      <c r="I102" s="11" t="n">
        <v>19</v>
      </c>
      <c r="J102" s="11" t="n">
        <v>14</v>
      </c>
      <c r="K102" s="11" t="n">
        <v>11</v>
      </c>
      <c r="L102" s="11" t="n">
        <v>11</v>
      </c>
      <c r="M102" s="11" t="n">
        <v>10</v>
      </c>
      <c r="N102" s="11" t="n">
        <v>16</v>
      </c>
      <c r="O102" s="11" t="n">
        <v>13</v>
      </c>
      <c r="P102" s="11" t="n">
        <v>16</v>
      </c>
    </row>
    <row r="103" customFormat="false" ht="15" hidden="false" customHeight="true" outlineLevel="0" collapsed="false">
      <c r="A103" s="13" t="s">
        <v>251</v>
      </c>
      <c r="B103" s="13" t="s">
        <v>252</v>
      </c>
      <c r="C103" s="13" t="s">
        <v>236</v>
      </c>
      <c r="D103" s="13" t="s">
        <v>51</v>
      </c>
      <c r="E103" s="13" t="s">
        <v>54</v>
      </c>
      <c r="F103" s="14" t="n">
        <v>6560</v>
      </c>
      <c r="G103" s="14" t="n">
        <v>11490</v>
      </c>
      <c r="H103" s="13" t="n">
        <v>58</v>
      </c>
      <c r="I103" s="13" t="n">
        <v>6</v>
      </c>
      <c r="J103" s="13" t="n">
        <v>7</v>
      </c>
      <c r="K103" s="13" t="n">
        <v>3</v>
      </c>
      <c r="L103" s="13" t="n">
        <v>2</v>
      </c>
      <c r="M103" s="13" t="n">
        <v>7</v>
      </c>
      <c r="N103" s="13" t="n">
        <v>6</v>
      </c>
      <c r="O103" s="13" t="n">
        <v>3</v>
      </c>
      <c r="P103" s="13" t="n">
        <v>6</v>
      </c>
    </row>
    <row r="104" customFormat="false" ht="15" hidden="false" customHeight="true" outlineLevel="0" collapsed="false">
      <c r="A104" s="11" t="s">
        <v>253</v>
      </c>
      <c r="B104" s="11" t="s">
        <v>254</v>
      </c>
      <c r="C104" s="11" t="s">
        <v>236</v>
      </c>
      <c r="D104" s="11" t="s">
        <v>57</v>
      </c>
      <c r="E104" s="11" t="s">
        <v>34</v>
      </c>
      <c r="F104" s="12" t="n">
        <v>11420</v>
      </c>
      <c r="G104" s="12" t="n">
        <v>21070</v>
      </c>
      <c r="H104" s="11" t="n">
        <v>96</v>
      </c>
      <c r="I104" s="11" t="n">
        <v>18</v>
      </c>
      <c r="J104" s="11" t="n">
        <v>5</v>
      </c>
      <c r="K104" s="11" t="n">
        <v>9</v>
      </c>
      <c r="L104" s="11" t="n">
        <v>13</v>
      </c>
      <c r="M104" s="11" t="n">
        <v>7</v>
      </c>
      <c r="N104" s="11" t="n">
        <v>13</v>
      </c>
      <c r="O104" s="11" t="n">
        <v>15</v>
      </c>
      <c r="P104" s="11" t="n">
        <v>18</v>
      </c>
    </row>
    <row r="105" customFormat="false" ht="15" hidden="false" customHeight="true" outlineLevel="0" collapsed="false">
      <c r="A105" s="13" t="s">
        <v>255</v>
      </c>
      <c r="B105" s="13" t="s">
        <v>256</v>
      </c>
      <c r="C105" s="13" t="s">
        <v>236</v>
      </c>
      <c r="D105" s="13" t="s">
        <v>76</v>
      </c>
      <c r="E105" s="13" t="s">
        <v>42</v>
      </c>
      <c r="F105" s="14" t="n">
        <v>9010</v>
      </c>
      <c r="G105" s="14" t="n">
        <v>12080</v>
      </c>
      <c r="H105" s="13" t="n">
        <v>72</v>
      </c>
      <c r="I105" s="13" t="n">
        <v>27</v>
      </c>
      <c r="J105" s="13" t="n">
        <v>7</v>
      </c>
      <c r="K105" s="13" t="n">
        <v>29</v>
      </c>
      <c r="L105" s="13" t="n">
        <v>21</v>
      </c>
      <c r="M105" s="13" t="n">
        <v>16</v>
      </c>
      <c r="N105" s="13" t="n">
        <v>14</v>
      </c>
      <c r="O105" s="13" t="n">
        <v>16</v>
      </c>
      <c r="P105" s="13" t="n">
        <v>14</v>
      </c>
    </row>
    <row r="106" customFormat="false" ht="15" hidden="false" customHeight="true" outlineLevel="0" collapsed="false">
      <c r="A106" s="11" t="s">
        <v>257</v>
      </c>
      <c r="B106" s="11" t="s">
        <v>258</v>
      </c>
      <c r="C106" s="11" t="s">
        <v>236</v>
      </c>
      <c r="D106" s="11" t="s">
        <v>91</v>
      </c>
      <c r="E106" s="11" t="s">
        <v>42</v>
      </c>
      <c r="F106" s="12" t="n">
        <v>14900</v>
      </c>
      <c r="G106" s="12" t="n">
        <v>24500</v>
      </c>
      <c r="H106" s="11" t="n">
        <v>74</v>
      </c>
      <c r="I106" s="11" t="n">
        <v>5</v>
      </c>
      <c r="J106" s="11" t="n">
        <v>5</v>
      </c>
      <c r="K106" s="11" t="n">
        <v>5</v>
      </c>
      <c r="L106" s="11" t="n">
        <v>2</v>
      </c>
      <c r="M106" s="11" t="n">
        <v>2</v>
      </c>
      <c r="N106" s="11" t="n">
        <v>1</v>
      </c>
      <c r="O106" s="11" t="n">
        <v>1</v>
      </c>
      <c r="P106" s="11" t="n">
        <v>3</v>
      </c>
    </row>
    <row r="107" customFormat="false" ht="15" hidden="false" customHeight="true" outlineLevel="0" collapsed="false">
      <c r="A107" s="13" t="s">
        <v>259</v>
      </c>
      <c r="B107" s="13" t="s">
        <v>260</v>
      </c>
      <c r="C107" s="13" t="s">
        <v>236</v>
      </c>
      <c r="D107" s="13" t="s">
        <v>45</v>
      </c>
      <c r="E107" s="13" t="s">
        <v>48</v>
      </c>
      <c r="F107" s="14" t="n">
        <v>4710</v>
      </c>
      <c r="G107" s="14" t="n">
        <v>10100</v>
      </c>
      <c r="H107" s="13" t="n">
        <v>56</v>
      </c>
      <c r="I107" s="13" t="n">
        <v>6</v>
      </c>
      <c r="J107" s="13" t="n">
        <v>5</v>
      </c>
      <c r="K107" s="13" t="n">
        <v>6</v>
      </c>
      <c r="L107" s="13" t="n">
        <v>6</v>
      </c>
      <c r="M107" s="13" t="n">
        <v>1</v>
      </c>
      <c r="N107" s="13" t="n">
        <v>5</v>
      </c>
      <c r="O107" s="13" t="n">
        <v>4</v>
      </c>
      <c r="P107" s="13" t="n">
        <v>3</v>
      </c>
    </row>
    <row r="108" customFormat="false" ht="15" hidden="false" customHeight="true" outlineLevel="0" collapsed="false">
      <c r="A108" s="11" t="s">
        <v>261</v>
      </c>
      <c r="B108" s="11" t="s">
        <v>262</v>
      </c>
      <c r="C108" s="11" t="s">
        <v>236</v>
      </c>
      <c r="D108" s="11" t="s">
        <v>41</v>
      </c>
      <c r="E108" s="11" t="s">
        <v>38</v>
      </c>
      <c r="F108" s="12" t="n">
        <v>7140</v>
      </c>
      <c r="G108" s="12" t="n">
        <v>13600</v>
      </c>
      <c r="H108" s="11" t="n">
        <v>47</v>
      </c>
      <c r="I108" s="11" t="n">
        <v>5</v>
      </c>
      <c r="J108" s="11" t="n">
        <v>21</v>
      </c>
      <c r="K108" s="11" t="n">
        <v>4</v>
      </c>
      <c r="L108" s="11" t="n">
        <v>4</v>
      </c>
      <c r="M108" s="11" t="n">
        <v>1</v>
      </c>
      <c r="N108" s="11" t="n">
        <v>4</v>
      </c>
      <c r="O108" s="11" t="n">
        <v>4</v>
      </c>
      <c r="P108" s="11" t="n">
        <v>0</v>
      </c>
    </row>
    <row r="109" customFormat="false" ht="15" hidden="false" customHeight="true" outlineLevel="0" collapsed="false">
      <c r="A109" s="13" t="s">
        <v>263</v>
      </c>
      <c r="B109" s="13" t="s">
        <v>264</v>
      </c>
      <c r="C109" s="13" t="s">
        <v>236</v>
      </c>
      <c r="D109" s="13" t="s">
        <v>37</v>
      </c>
      <c r="E109" s="13" t="s">
        <v>34</v>
      </c>
      <c r="F109" s="14" t="n">
        <v>5330</v>
      </c>
      <c r="G109" s="14" t="n">
        <v>9800</v>
      </c>
      <c r="H109" s="13" t="n">
        <v>37</v>
      </c>
      <c r="I109" s="13" t="n">
        <v>7</v>
      </c>
      <c r="J109" s="13" t="n">
        <v>21</v>
      </c>
      <c r="K109" s="13" t="n">
        <v>3</v>
      </c>
      <c r="L109" s="13" t="n">
        <v>5</v>
      </c>
      <c r="M109" s="13" t="n">
        <v>5</v>
      </c>
      <c r="N109" s="13" t="n">
        <v>6</v>
      </c>
      <c r="O109" s="13" t="n">
        <v>4</v>
      </c>
      <c r="P109" s="13" t="n">
        <v>5</v>
      </c>
    </row>
    <row r="110" customFormat="false" ht="15" hidden="false" customHeight="true" outlineLevel="0" collapsed="false">
      <c r="A110" s="11" t="s">
        <v>265</v>
      </c>
      <c r="B110" s="11" t="s">
        <v>266</v>
      </c>
      <c r="C110" s="11" t="s">
        <v>236</v>
      </c>
      <c r="D110" s="11" t="s">
        <v>37</v>
      </c>
      <c r="E110" s="11" t="s">
        <v>48</v>
      </c>
      <c r="F110" s="12" t="n">
        <v>5070</v>
      </c>
      <c r="G110" s="12" t="n">
        <v>9820</v>
      </c>
      <c r="H110" s="11" t="n">
        <v>56</v>
      </c>
      <c r="I110" s="11" t="n">
        <v>6</v>
      </c>
      <c r="J110" s="11" t="n">
        <v>10</v>
      </c>
      <c r="K110" s="11" t="n">
        <v>6</v>
      </c>
      <c r="L110" s="11" t="n">
        <v>2</v>
      </c>
      <c r="M110" s="11" t="n">
        <v>6</v>
      </c>
      <c r="N110" s="11" t="n">
        <v>3</v>
      </c>
      <c r="O110" s="11" t="n">
        <v>4</v>
      </c>
      <c r="P110" s="11" t="n">
        <v>5</v>
      </c>
    </row>
    <row r="111" customFormat="false" ht="15" hidden="false" customHeight="true" outlineLevel="0" collapsed="false">
      <c r="A111" s="13" t="s">
        <v>267</v>
      </c>
      <c r="B111" s="13" t="s">
        <v>268</v>
      </c>
      <c r="C111" s="13" t="s">
        <v>236</v>
      </c>
      <c r="D111" s="13" t="s">
        <v>37</v>
      </c>
      <c r="E111" s="13" t="s">
        <v>42</v>
      </c>
      <c r="F111" s="14" t="n">
        <v>5110</v>
      </c>
      <c r="G111" s="14" t="n">
        <v>10820</v>
      </c>
      <c r="H111" s="13" t="n">
        <v>46</v>
      </c>
      <c r="I111" s="13" t="n">
        <v>23</v>
      </c>
      <c r="J111" s="13" t="n">
        <v>14</v>
      </c>
      <c r="K111" s="13" t="n">
        <v>18</v>
      </c>
      <c r="L111" s="13" t="n">
        <v>22</v>
      </c>
      <c r="M111" s="13" t="n">
        <v>14</v>
      </c>
      <c r="N111" s="13" t="n">
        <v>6</v>
      </c>
      <c r="O111" s="13" t="n">
        <v>21</v>
      </c>
      <c r="P111" s="13" t="n">
        <v>11</v>
      </c>
    </row>
    <row r="112" customFormat="false" ht="15" hidden="false" customHeight="true" outlineLevel="0" collapsed="false">
      <c r="A112" s="11" t="s">
        <v>269</v>
      </c>
      <c r="B112" s="11" t="s">
        <v>270</v>
      </c>
      <c r="C112" s="11" t="s">
        <v>236</v>
      </c>
      <c r="D112" s="11" t="s">
        <v>60</v>
      </c>
      <c r="E112" s="11" t="s">
        <v>42</v>
      </c>
      <c r="F112" s="12" t="n">
        <v>11810</v>
      </c>
      <c r="G112" s="12" t="n">
        <v>19400</v>
      </c>
      <c r="H112" s="11" t="n">
        <v>80</v>
      </c>
      <c r="I112" s="11" t="n">
        <v>25</v>
      </c>
      <c r="J112" s="11" t="n">
        <v>10</v>
      </c>
      <c r="K112" s="11" t="n">
        <v>12</v>
      </c>
      <c r="L112" s="11" t="n">
        <v>18</v>
      </c>
      <c r="M112" s="11" t="n">
        <v>9</v>
      </c>
      <c r="N112" s="11" t="n">
        <v>14</v>
      </c>
      <c r="O112" s="11" t="n">
        <v>26</v>
      </c>
      <c r="P112" s="11" t="n">
        <v>23</v>
      </c>
    </row>
    <row r="113" customFormat="false" ht="15" hidden="false" customHeight="true" outlineLevel="0" collapsed="false">
      <c r="A113" s="13" t="s">
        <v>271</v>
      </c>
      <c r="B113" s="13" t="s">
        <v>272</v>
      </c>
      <c r="C113" s="13" t="s">
        <v>236</v>
      </c>
      <c r="D113" s="13" t="s">
        <v>60</v>
      </c>
      <c r="E113" s="13" t="s">
        <v>48</v>
      </c>
      <c r="F113" s="14" t="n">
        <v>3410</v>
      </c>
      <c r="G113" s="14" t="n">
        <v>7160</v>
      </c>
      <c r="H113" s="13" t="n">
        <v>147</v>
      </c>
      <c r="I113" s="13" t="n">
        <v>5</v>
      </c>
      <c r="J113" s="13" t="n">
        <v>5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</row>
    <row r="114" customFormat="false" ht="15" hidden="false" customHeight="true" outlineLevel="0" collapsed="false">
      <c r="A114" s="11" t="s">
        <v>273</v>
      </c>
      <c r="B114" s="11" t="s">
        <v>274</v>
      </c>
      <c r="C114" s="11" t="s">
        <v>236</v>
      </c>
      <c r="D114" s="11" t="s">
        <v>76</v>
      </c>
      <c r="E114" s="11" t="s">
        <v>48</v>
      </c>
      <c r="F114" s="12" t="n">
        <v>8630</v>
      </c>
      <c r="G114" s="12" t="n">
        <v>11310</v>
      </c>
      <c r="H114" s="11" t="n">
        <v>42</v>
      </c>
      <c r="I114" s="11" t="n">
        <v>23</v>
      </c>
      <c r="J114" s="11" t="n">
        <v>5</v>
      </c>
      <c r="K114" s="11" t="n">
        <v>12</v>
      </c>
      <c r="L114" s="11" t="n">
        <v>28</v>
      </c>
      <c r="M114" s="11" t="n">
        <v>24</v>
      </c>
      <c r="N114" s="11" t="n">
        <v>15</v>
      </c>
      <c r="O114" s="11" t="n">
        <v>10</v>
      </c>
      <c r="P114" s="11" t="n">
        <v>6</v>
      </c>
    </row>
    <row r="115" customFormat="false" ht="15" hidden="false" customHeight="true" outlineLevel="0" collapsed="false">
      <c r="A115" s="13" t="s">
        <v>275</v>
      </c>
      <c r="B115" s="13" t="s">
        <v>276</v>
      </c>
      <c r="C115" s="13" t="s">
        <v>236</v>
      </c>
      <c r="D115" s="13" t="s">
        <v>60</v>
      </c>
      <c r="E115" s="13" t="s">
        <v>48</v>
      </c>
      <c r="F115" s="14" t="n">
        <v>4220</v>
      </c>
      <c r="G115" s="14" t="n">
        <v>7840</v>
      </c>
      <c r="H115" s="13" t="n">
        <v>48</v>
      </c>
      <c r="I115" s="13" t="n">
        <v>26</v>
      </c>
      <c r="J115" s="13" t="n">
        <v>10</v>
      </c>
      <c r="K115" s="13" t="n">
        <v>9</v>
      </c>
      <c r="L115" s="13" t="n">
        <v>22</v>
      </c>
      <c r="M115" s="13" t="n">
        <v>26</v>
      </c>
      <c r="N115" s="13" t="n">
        <v>21</v>
      </c>
      <c r="O115" s="13" t="n">
        <v>11</v>
      </c>
      <c r="P115" s="13" t="n">
        <v>15</v>
      </c>
    </row>
    <row r="116" customFormat="false" ht="15" hidden="false" customHeight="true" outlineLevel="0" collapsed="false">
      <c r="A116" s="11" t="s">
        <v>277</v>
      </c>
      <c r="B116" s="11" t="s">
        <v>278</v>
      </c>
      <c r="C116" s="11" t="s">
        <v>236</v>
      </c>
      <c r="D116" s="11" t="s">
        <v>37</v>
      </c>
      <c r="E116" s="11" t="s">
        <v>42</v>
      </c>
      <c r="F116" s="12" t="n">
        <v>7550</v>
      </c>
      <c r="G116" s="12" t="n">
        <v>10130</v>
      </c>
      <c r="H116" s="11" t="n">
        <v>23</v>
      </c>
      <c r="I116" s="11" t="n">
        <v>61</v>
      </c>
      <c r="J116" s="11" t="n">
        <v>21</v>
      </c>
      <c r="K116" s="11" t="n">
        <v>55</v>
      </c>
      <c r="L116" s="11" t="n">
        <v>32</v>
      </c>
      <c r="M116" s="11" t="n">
        <v>38</v>
      </c>
      <c r="N116" s="11" t="n">
        <v>39</v>
      </c>
      <c r="O116" s="11" t="n">
        <v>46</v>
      </c>
      <c r="P116" s="11" t="n">
        <v>36</v>
      </c>
    </row>
    <row r="117" customFormat="false" ht="15" hidden="false" customHeight="true" outlineLevel="0" collapsed="false">
      <c r="A117" s="13" t="s">
        <v>279</v>
      </c>
      <c r="B117" s="13" t="s">
        <v>280</v>
      </c>
      <c r="C117" s="13" t="s">
        <v>236</v>
      </c>
      <c r="D117" s="13" t="s">
        <v>91</v>
      </c>
      <c r="E117" s="13" t="s">
        <v>38</v>
      </c>
      <c r="F117" s="14" t="n">
        <v>5050</v>
      </c>
      <c r="G117" s="14" t="n">
        <v>9130</v>
      </c>
      <c r="H117" s="13" t="n">
        <v>30</v>
      </c>
      <c r="I117" s="13" t="n">
        <v>17</v>
      </c>
      <c r="J117" s="13" t="n">
        <v>21</v>
      </c>
      <c r="K117" s="13" t="n">
        <v>19</v>
      </c>
      <c r="L117" s="13" t="n">
        <v>8</v>
      </c>
      <c r="M117" s="13" t="n">
        <v>10</v>
      </c>
      <c r="N117" s="13" t="n">
        <v>13</v>
      </c>
      <c r="O117" s="13" t="n">
        <v>14</v>
      </c>
      <c r="P117" s="13" t="n">
        <v>6</v>
      </c>
    </row>
    <row r="118" customFormat="false" ht="15" hidden="false" customHeight="true" outlineLevel="0" collapsed="false">
      <c r="A118" s="11" t="s">
        <v>281</v>
      </c>
      <c r="B118" s="11" t="s">
        <v>282</v>
      </c>
      <c r="C118" s="11" t="s">
        <v>236</v>
      </c>
      <c r="D118" s="11" t="s">
        <v>76</v>
      </c>
      <c r="E118" s="11" t="s">
        <v>42</v>
      </c>
      <c r="F118" s="12" t="n">
        <v>7010</v>
      </c>
      <c r="G118" s="12" t="n">
        <v>14400</v>
      </c>
      <c r="H118" s="11" t="n">
        <v>77</v>
      </c>
      <c r="I118" s="11" t="n">
        <v>19</v>
      </c>
      <c r="J118" s="11" t="n">
        <v>14</v>
      </c>
      <c r="K118" s="11" t="n">
        <v>16</v>
      </c>
      <c r="L118" s="11" t="n">
        <v>2</v>
      </c>
      <c r="M118" s="11" t="n">
        <v>8</v>
      </c>
      <c r="N118" s="11" t="n">
        <v>20</v>
      </c>
      <c r="O118" s="11" t="n">
        <v>18</v>
      </c>
      <c r="P118" s="11" t="n">
        <v>15</v>
      </c>
    </row>
    <row r="119" customFormat="false" ht="15" hidden="false" customHeight="true" outlineLevel="0" collapsed="false">
      <c r="A119" s="13" t="s">
        <v>283</v>
      </c>
      <c r="B119" s="13" t="s">
        <v>284</v>
      </c>
      <c r="C119" s="13" t="s">
        <v>236</v>
      </c>
      <c r="D119" s="13" t="s">
        <v>91</v>
      </c>
      <c r="E119" s="13" t="s">
        <v>48</v>
      </c>
      <c r="F119" s="14" t="n">
        <v>5920</v>
      </c>
      <c r="G119" s="14" t="n">
        <v>8180</v>
      </c>
      <c r="H119" s="13" t="n">
        <v>137</v>
      </c>
      <c r="I119" s="13" t="n">
        <v>5</v>
      </c>
      <c r="J119" s="13" t="n">
        <v>10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1</v>
      </c>
    </row>
    <row r="120" customFormat="false" ht="15" hidden="false" customHeight="true" outlineLevel="0" collapsed="false">
      <c r="A120" s="11" t="s">
        <v>285</v>
      </c>
      <c r="B120" s="11" t="s">
        <v>286</v>
      </c>
      <c r="C120" s="11" t="s">
        <v>236</v>
      </c>
      <c r="D120" s="11" t="s">
        <v>57</v>
      </c>
      <c r="E120" s="11" t="s">
        <v>38</v>
      </c>
      <c r="F120" s="12" t="n">
        <v>3460</v>
      </c>
      <c r="G120" s="12" t="n">
        <v>5900</v>
      </c>
      <c r="H120" s="11" t="n">
        <v>69</v>
      </c>
      <c r="I120" s="11" t="n">
        <v>20</v>
      </c>
      <c r="J120" s="11" t="n">
        <v>5</v>
      </c>
      <c r="K120" s="11" t="n">
        <v>14</v>
      </c>
      <c r="L120" s="11" t="n">
        <v>15</v>
      </c>
      <c r="M120" s="11" t="n">
        <v>13</v>
      </c>
      <c r="N120" s="11" t="n">
        <v>16</v>
      </c>
      <c r="O120" s="11" t="n">
        <v>11</v>
      </c>
      <c r="P120" s="11" t="n">
        <v>12</v>
      </c>
    </row>
    <row r="121" customFormat="false" ht="15" hidden="false" customHeight="true" outlineLevel="0" collapsed="false">
      <c r="A121" s="13" t="s">
        <v>287</v>
      </c>
      <c r="B121" s="13" t="s">
        <v>288</v>
      </c>
      <c r="C121" s="13" t="s">
        <v>236</v>
      </c>
      <c r="D121" s="13" t="s">
        <v>91</v>
      </c>
      <c r="E121" s="13" t="s">
        <v>42</v>
      </c>
      <c r="F121" s="14" t="n">
        <v>11860</v>
      </c>
      <c r="G121" s="14" t="n">
        <v>23150</v>
      </c>
      <c r="H121" s="13" t="n">
        <v>54</v>
      </c>
      <c r="I121" s="13" t="n">
        <v>21</v>
      </c>
      <c r="J121" s="13" t="n">
        <v>14</v>
      </c>
      <c r="K121" s="13" t="n">
        <v>18</v>
      </c>
      <c r="L121" s="13" t="n">
        <v>14</v>
      </c>
      <c r="M121" s="13" t="n">
        <v>7</v>
      </c>
      <c r="N121" s="13" t="n">
        <v>13</v>
      </c>
      <c r="O121" s="13" t="n">
        <v>16</v>
      </c>
      <c r="P121" s="13" t="n">
        <v>18</v>
      </c>
    </row>
    <row r="122" customFormat="false" ht="15" hidden="false" customHeight="true" outlineLevel="0" collapsed="false">
      <c r="A122" s="11" t="s">
        <v>289</v>
      </c>
      <c r="B122" s="11" t="s">
        <v>290</v>
      </c>
      <c r="C122" s="11" t="s">
        <v>236</v>
      </c>
      <c r="D122" s="11" t="s">
        <v>33</v>
      </c>
      <c r="E122" s="11" t="s">
        <v>38</v>
      </c>
      <c r="F122" s="12" t="n">
        <v>6970</v>
      </c>
      <c r="G122" s="12" t="n">
        <v>11700</v>
      </c>
      <c r="H122" s="11" t="n">
        <v>33</v>
      </c>
      <c r="I122" s="11" t="n">
        <v>24</v>
      </c>
      <c r="J122" s="11" t="n">
        <v>7</v>
      </c>
      <c r="K122" s="11" t="n">
        <v>18</v>
      </c>
      <c r="L122" s="11" t="n">
        <v>16</v>
      </c>
      <c r="M122" s="11" t="n">
        <v>15</v>
      </c>
      <c r="N122" s="11" t="n">
        <v>22</v>
      </c>
      <c r="O122" s="11" t="n">
        <v>12</v>
      </c>
      <c r="P122" s="11" t="n">
        <v>13</v>
      </c>
    </row>
    <row r="123" customFormat="false" ht="15" hidden="false" customHeight="true" outlineLevel="0" collapsed="false">
      <c r="A123" s="13" t="s">
        <v>291</v>
      </c>
      <c r="B123" s="13" t="s">
        <v>292</v>
      </c>
      <c r="C123" s="13" t="s">
        <v>293</v>
      </c>
      <c r="D123" s="13" t="s">
        <v>41</v>
      </c>
      <c r="E123" s="13" t="s">
        <v>54</v>
      </c>
      <c r="F123" s="14" t="n">
        <v>9210</v>
      </c>
      <c r="G123" s="14" t="n">
        <v>16500</v>
      </c>
      <c r="H123" s="13" t="n">
        <v>118</v>
      </c>
      <c r="I123" s="13" t="n">
        <v>5</v>
      </c>
      <c r="J123" s="13" t="n">
        <v>5</v>
      </c>
      <c r="K123" s="13" t="n">
        <v>0</v>
      </c>
      <c r="L123" s="13" t="n">
        <v>2</v>
      </c>
      <c r="M123" s="13" t="n">
        <v>0</v>
      </c>
      <c r="N123" s="13" t="n">
        <v>4</v>
      </c>
      <c r="O123" s="13" t="n">
        <v>2</v>
      </c>
      <c r="P123" s="13" t="n">
        <v>4</v>
      </c>
    </row>
    <row r="124" customFormat="false" ht="15" hidden="false" customHeight="true" outlineLevel="0" collapsed="false">
      <c r="A124" s="11" t="s">
        <v>294</v>
      </c>
      <c r="B124" s="11" t="s">
        <v>295</v>
      </c>
      <c r="C124" s="11" t="s">
        <v>293</v>
      </c>
      <c r="D124" s="11" t="s">
        <v>67</v>
      </c>
      <c r="E124" s="11" t="s">
        <v>34</v>
      </c>
      <c r="F124" s="12" t="n">
        <v>9790</v>
      </c>
      <c r="G124" s="12" t="n">
        <v>14860</v>
      </c>
      <c r="H124" s="11" t="n">
        <v>94</v>
      </c>
      <c r="I124" s="11" t="n">
        <v>5</v>
      </c>
      <c r="J124" s="11" t="n">
        <v>14</v>
      </c>
      <c r="K124" s="11" t="n">
        <v>3</v>
      </c>
      <c r="L124" s="11" t="n">
        <v>0</v>
      </c>
      <c r="M124" s="11" t="n">
        <v>9</v>
      </c>
      <c r="N124" s="11" t="n">
        <v>6</v>
      </c>
      <c r="O124" s="11" t="n">
        <v>1</v>
      </c>
      <c r="P124" s="11" t="n">
        <v>4</v>
      </c>
    </row>
    <row r="125" customFormat="false" ht="15" hidden="false" customHeight="true" outlineLevel="0" collapsed="false">
      <c r="A125" s="13" t="s">
        <v>296</v>
      </c>
      <c r="B125" s="13" t="s">
        <v>297</v>
      </c>
      <c r="C125" s="13" t="s">
        <v>293</v>
      </c>
      <c r="D125" s="13" t="s">
        <v>76</v>
      </c>
      <c r="E125" s="13" t="s">
        <v>38</v>
      </c>
      <c r="F125" s="14" t="n">
        <v>10760</v>
      </c>
      <c r="G125" s="14" t="n">
        <v>21850</v>
      </c>
      <c r="H125" s="13" t="n">
        <v>92</v>
      </c>
      <c r="I125" s="13" t="n">
        <v>26</v>
      </c>
      <c r="J125" s="13" t="n">
        <v>14</v>
      </c>
      <c r="K125" s="13" t="n">
        <v>17</v>
      </c>
      <c r="L125" s="13" t="n">
        <v>13</v>
      </c>
      <c r="M125" s="13" t="n">
        <v>15</v>
      </c>
      <c r="N125" s="13" t="n">
        <v>22</v>
      </c>
      <c r="O125" s="13" t="n">
        <v>18</v>
      </c>
      <c r="P125" s="13" t="n">
        <v>20</v>
      </c>
    </row>
    <row r="126" customFormat="false" ht="15" hidden="false" customHeight="true" outlineLevel="0" collapsed="false">
      <c r="A126" s="11" t="s">
        <v>298</v>
      </c>
      <c r="B126" s="11" t="s">
        <v>299</v>
      </c>
      <c r="C126" s="11" t="s">
        <v>293</v>
      </c>
      <c r="D126" s="11" t="s">
        <v>45</v>
      </c>
      <c r="E126" s="11" t="s">
        <v>38</v>
      </c>
      <c r="F126" s="12" t="n">
        <v>7660</v>
      </c>
      <c r="G126" s="12" t="n">
        <v>11990</v>
      </c>
      <c r="H126" s="11" t="n">
        <v>146</v>
      </c>
      <c r="I126" s="11" t="n">
        <v>5</v>
      </c>
      <c r="J126" s="11" t="n">
        <v>7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</row>
    <row r="127" customFormat="false" ht="15" hidden="false" customHeight="true" outlineLevel="0" collapsed="false">
      <c r="A127" s="13" t="s">
        <v>300</v>
      </c>
      <c r="B127" s="13" t="s">
        <v>301</v>
      </c>
      <c r="C127" s="13" t="s">
        <v>293</v>
      </c>
      <c r="D127" s="13" t="s">
        <v>51</v>
      </c>
      <c r="E127" s="13" t="s">
        <v>38</v>
      </c>
      <c r="F127" s="14" t="n">
        <v>7270</v>
      </c>
      <c r="G127" s="14" t="n">
        <v>10800</v>
      </c>
      <c r="H127" s="13" t="n">
        <v>34</v>
      </c>
      <c r="I127" s="13" t="n">
        <v>20</v>
      </c>
      <c r="J127" s="13" t="n">
        <v>5</v>
      </c>
      <c r="K127" s="13" t="n">
        <v>9</v>
      </c>
      <c r="L127" s="13" t="n">
        <v>15</v>
      </c>
      <c r="M127" s="13" t="n">
        <v>13</v>
      </c>
      <c r="N127" s="13" t="n">
        <v>10</v>
      </c>
      <c r="O127" s="13" t="n">
        <v>12</v>
      </c>
      <c r="P127" s="13" t="n">
        <v>23</v>
      </c>
    </row>
    <row r="128" customFormat="false" ht="15" hidden="false" customHeight="true" outlineLevel="0" collapsed="false">
      <c r="A128" s="11" t="s">
        <v>302</v>
      </c>
      <c r="B128" s="11" t="s">
        <v>303</v>
      </c>
      <c r="C128" s="11" t="s">
        <v>293</v>
      </c>
      <c r="D128" s="11" t="s">
        <v>33</v>
      </c>
      <c r="E128" s="11" t="s">
        <v>54</v>
      </c>
      <c r="F128" s="12" t="n">
        <v>14000</v>
      </c>
      <c r="G128" s="12" t="n">
        <v>27530</v>
      </c>
      <c r="H128" s="11" t="n">
        <v>43</v>
      </c>
      <c r="I128" s="11" t="n">
        <v>18</v>
      </c>
      <c r="J128" s="11" t="n">
        <v>14</v>
      </c>
      <c r="K128" s="11" t="n">
        <v>10</v>
      </c>
      <c r="L128" s="11" t="n">
        <v>13</v>
      </c>
      <c r="M128" s="11" t="n">
        <v>10</v>
      </c>
      <c r="N128" s="11" t="n">
        <v>17</v>
      </c>
      <c r="O128" s="11" t="n">
        <v>17</v>
      </c>
      <c r="P128" s="11" t="n">
        <v>8</v>
      </c>
    </row>
    <row r="129" customFormat="false" ht="15" hidden="false" customHeight="true" outlineLevel="0" collapsed="false">
      <c r="A129" s="13" t="s">
        <v>304</v>
      </c>
      <c r="B129" s="13" t="s">
        <v>305</v>
      </c>
      <c r="C129" s="13" t="s">
        <v>293</v>
      </c>
      <c r="D129" s="13" t="s">
        <v>57</v>
      </c>
      <c r="E129" s="13" t="s">
        <v>48</v>
      </c>
      <c r="F129" s="14" t="n">
        <v>9820</v>
      </c>
      <c r="G129" s="14" t="n">
        <v>18890</v>
      </c>
      <c r="H129" s="13" t="n">
        <v>26</v>
      </c>
      <c r="I129" s="13" t="n">
        <v>23</v>
      </c>
      <c r="J129" s="13" t="n">
        <v>10</v>
      </c>
      <c r="K129" s="13" t="n">
        <v>21</v>
      </c>
      <c r="L129" s="13" t="n">
        <v>14</v>
      </c>
      <c r="M129" s="13" t="n">
        <v>12</v>
      </c>
      <c r="N129" s="13" t="n">
        <v>15</v>
      </c>
      <c r="O129" s="13" t="n">
        <v>12</v>
      </c>
      <c r="P129" s="13" t="n">
        <v>20</v>
      </c>
    </row>
    <row r="130" customFormat="false" ht="15" hidden="false" customHeight="true" outlineLevel="0" collapsed="false">
      <c r="A130" s="11" t="s">
        <v>306</v>
      </c>
      <c r="B130" s="11" t="s">
        <v>307</v>
      </c>
      <c r="C130" s="11" t="s">
        <v>293</v>
      </c>
      <c r="D130" s="11" t="s">
        <v>67</v>
      </c>
      <c r="E130" s="11" t="s">
        <v>42</v>
      </c>
      <c r="F130" s="12" t="n">
        <v>3570</v>
      </c>
      <c r="G130" s="12" t="n">
        <v>5870</v>
      </c>
      <c r="H130" s="11" t="n">
        <v>92</v>
      </c>
      <c r="I130" s="11" t="n">
        <v>18</v>
      </c>
      <c r="J130" s="11" t="n">
        <v>5</v>
      </c>
      <c r="K130" s="11" t="n">
        <v>12</v>
      </c>
      <c r="L130" s="11" t="n">
        <v>10</v>
      </c>
      <c r="M130" s="11" t="n">
        <v>7</v>
      </c>
      <c r="N130" s="11" t="n">
        <v>15</v>
      </c>
      <c r="O130" s="11" t="n">
        <v>12</v>
      </c>
      <c r="P130" s="11" t="n">
        <v>16</v>
      </c>
    </row>
    <row r="131" customFormat="false" ht="15" hidden="false" customHeight="true" outlineLevel="0" collapsed="false">
      <c r="A131" s="13" t="s">
        <v>308</v>
      </c>
      <c r="B131" s="13" t="s">
        <v>309</v>
      </c>
      <c r="C131" s="13" t="s">
        <v>293</v>
      </c>
      <c r="D131" s="13" t="s">
        <v>51</v>
      </c>
      <c r="E131" s="13" t="s">
        <v>38</v>
      </c>
      <c r="F131" s="14" t="n">
        <v>4700</v>
      </c>
      <c r="G131" s="14" t="n">
        <v>8380</v>
      </c>
      <c r="H131" s="13" t="n">
        <v>59</v>
      </c>
      <c r="I131" s="13" t="n">
        <v>56</v>
      </c>
      <c r="J131" s="13" t="n">
        <v>21</v>
      </c>
      <c r="K131" s="13" t="n">
        <v>27</v>
      </c>
      <c r="L131" s="13" t="n">
        <v>43</v>
      </c>
      <c r="M131" s="13" t="n">
        <v>41</v>
      </c>
      <c r="N131" s="13" t="n">
        <v>29</v>
      </c>
      <c r="O131" s="13" t="n">
        <v>42</v>
      </c>
      <c r="P131" s="13" t="n">
        <v>42</v>
      </c>
    </row>
    <row r="132" customFormat="false" ht="15" hidden="false" customHeight="true" outlineLevel="0" collapsed="false">
      <c r="A132" s="11" t="s">
        <v>310</v>
      </c>
      <c r="B132" s="11" t="s">
        <v>311</v>
      </c>
      <c r="C132" s="11" t="s">
        <v>293</v>
      </c>
      <c r="D132" s="11" t="s">
        <v>60</v>
      </c>
      <c r="E132" s="11" t="s">
        <v>48</v>
      </c>
      <c r="F132" s="12" t="n">
        <v>11590</v>
      </c>
      <c r="G132" s="12" t="n">
        <v>19670</v>
      </c>
      <c r="H132" s="11" t="n">
        <v>53</v>
      </c>
      <c r="I132" s="11" t="n">
        <v>19</v>
      </c>
      <c r="J132" s="11" t="n">
        <v>10</v>
      </c>
      <c r="K132" s="11" t="n">
        <v>7</v>
      </c>
      <c r="L132" s="11" t="n">
        <v>18</v>
      </c>
      <c r="M132" s="11" t="n">
        <v>12</v>
      </c>
      <c r="N132" s="11" t="n">
        <v>11</v>
      </c>
      <c r="O132" s="11" t="n">
        <v>15</v>
      </c>
      <c r="P132" s="11" t="n">
        <v>14</v>
      </c>
    </row>
    <row r="133" customFormat="false" ht="15" hidden="false" customHeight="true" outlineLevel="0" collapsed="false">
      <c r="A133" s="13" t="s">
        <v>312</v>
      </c>
      <c r="B133" s="13" t="s">
        <v>313</v>
      </c>
      <c r="C133" s="13" t="s">
        <v>293</v>
      </c>
      <c r="D133" s="13" t="s">
        <v>67</v>
      </c>
      <c r="E133" s="13" t="s">
        <v>48</v>
      </c>
      <c r="F133" s="14" t="n">
        <v>11810</v>
      </c>
      <c r="G133" s="14" t="n">
        <v>17870</v>
      </c>
      <c r="H133" s="13" t="n">
        <v>56</v>
      </c>
      <c r="I133" s="13" t="n">
        <v>5</v>
      </c>
      <c r="J133" s="13" t="n">
        <v>7</v>
      </c>
      <c r="K133" s="13" t="n">
        <v>2</v>
      </c>
      <c r="L133" s="13" t="n">
        <v>3</v>
      </c>
      <c r="M133" s="13" t="n">
        <v>3</v>
      </c>
      <c r="N133" s="13" t="n">
        <v>1</v>
      </c>
      <c r="O133" s="13" t="n">
        <v>4</v>
      </c>
      <c r="P133" s="13" t="n">
        <v>4</v>
      </c>
    </row>
    <row r="134" customFormat="false" ht="15" hidden="false" customHeight="true" outlineLevel="0" collapsed="false">
      <c r="A134" s="11" t="s">
        <v>314</v>
      </c>
      <c r="B134" s="11" t="s">
        <v>315</v>
      </c>
      <c r="C134" s="11" t="s">
        <v>293</v>
      </c>
      <c r="D134" s="11" t="s">
        <v>41</v>
      </c>
      <c r="E134" s="11" t="s">
        <v>54</v>
      </c>
      <c r="F134" s="12" t="n">
        <v>8360</v>
      </c>
      <c r="G134" s="12" t="n">
        <v>15360</v>
      </c>
      <c r="H134" s="11" t="n">
        <v>16</v>
      </c>
      <c r="I134" s="11" t="n">
        <v>49</v>
      </c>
      <c r="J134" s="11" t="n">
        <v>7</v>
      </c>
      <c r="K134" s="11" t="n">
        <v>46</v>
      </c>
      <c r="L134" s="11" t="n">
        <v>39</v>
      </c>
      <c r="M134" s="11" t="n">
        <v>22</v>
      </c>
      <c r="N134" s="11" t="n">
        <v>31</v>
      </c>
      <c r="O134" s="11" t="n">
        <v>22</v>
      </c>
      <c r="P134" s="11" t="n">
        <v>38</v>
      </c>
    </row>
    <row r="135" customFormat="false" ht="15" hidden="false" customHeight="true" outlineLevel="0" collapsed="false">
      <c r="A135" s="13" t="s">
        <v>316</v>
      </c>
      <c r="B135" s="13" t="s">
        <v>317</v>
      </c>
      <c r="C135" s="13" t="s">
        <v>293</v>
      </c>
      <c r="D135" s="13" t="s">
        <v>51</v>
      </c>
      <c r="E135" s="13" t="s">
        <v>54</v>
      </c>
      <c r="F135" s="14" t="n">
        <v>10760</v>
      </c>
      <c r="G135" s="14" t="n">
        <v>15270</v>
      </c>
      <c r="H135" s="13" t="n">
        <v>50</v>
      </c>
      <c r="I135" s="13" t="n">
        <v>63</v>
      </c>
      <c r="J135" s="13" t="n">
        <v>14</v>
      </c>
      <c r="K135" s="13" t="n">
        <v>37</v>
      </c>
      <c r="L135" s="13" t="n">
        <v>45</v>
      </c>
      <c r="M135" s="13" t="n">
        <v>44</v>
      </c>
      <c r="N135" s="13" t="n">
        <v>33</v>
      </c>
      <c r="O135" s="13" t="n">
        <v>47</v>
      </c>
      <c r="P135" s="13" t="n">
        <v>48</v>
      </c>
    </row>
    <row r="136" customFormat="false" ht="15" hidden="false" customHeight="true" outlineLevel="0" collapsed="false">
      <c r="A136" s="11" t="s">
        <v>318</v>
      </c>
      <c r="B136" s="11" t="s">
        <v>319</v>
      </c>
      <c r="C136" s="11" t="s">
        <v>293</v>
      </c>
      <c r="D136" s="11" t="s">
        <v>67</v>
      </c>
      <c r="E136" s="11" t="s">
        <v>54</v>
      </c>
      <c r="F136" s="12" t="n">
        <v>9800</v>
      </c>
      <c r="G136" s="12" t="n">
        <v>20500</v>
      </c>
      <c r="H136" s="11" t="n">
        <v>10</v>
      </c>
      <c r="I136" s="11" t="n">
        <v>59</v>
      </c>
      <c r="J136" s="11" t="n">
        <v>5</v>
      </c>
      <c r="K136" s="11" t="n">
        <v>33</v>
      </c>
      <c r="L136" s="11" t="n">
        <v>39</v>
      </c>
      <c r="M136" s="11" t="n">
        <v>47</v>
      </c>
      <c r="N136" s="11" t="n">
        <v>37</v>
      </c>
      <c r="O136" s="11" t="n">
        <v>46</v>
      </c>
      <c r="P136" s="11" t="n">
        <v>37</v>
      </c>
    </row>
    <row r="137" customFormat="false" ht="15" hidden="false" customHeight="true" outlineLevel="0" collapsed="false">
      <c r="A137" s="13" t="s">
        <v>320</v>
      </c>
      <c r="B137" s="13" t="s">
        <v>321</v>
      </c>
      <c r="C137" s="13" t="s">
        <v>293</v>
      </c>
      <c r="D137" s="13" t="s">
        <v>45</v>
      </c>
      <c r="E137" s="13" t="s">
        <v>38</v>
      </c>
      <c r="F137" s="14" t="n">
        <v>12100</v>
      </c>
      <c r="G137" s="14" t="n">
        <v>20060</v>
      </c>
      <c r="H137" s="13" t="n">
        <v>74</v>
      </c>
      <c r="I137" s="13" t="n">
        <v>5</v>
      </c>
      <c r="J137" s="13" t="n">
        <v>10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1</v>
      </c>
    </row>
    <row r="138" customFormat="false" ht="15" hidden="false" customHeight="true" outlineLevel="0" collapsed="false">
      <c r="A138" s="11" t="s">
        <v>322</v>
      </c>
      <c r="B138" s="11" t="s">
        <v>323</v>
      </c>
      <c r="C138" s="11" t="s">
        <v>293</v>
      </c>
      <c r="D138" s="11" t="s">
        <v>67</v>
      </c>
      <c r="E138" s="11" t="s">
        <v>48</v>
      </c>
      <c r="F138" s="12" t="n">
        <v>14880</v>
      </c>
      <c r="G138" s="12" t="n">
        <v>25070</v>
      </c>
      <c r="H138" s="11" t="n">
        <v>60</v>
      </c>
      <c r="I138" s="11" t="n">
        <v>5</v>
      </c>
      <c r="J138" s="11" t="n">
        <v>10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1</v>
      </c>
    </row>
    <row r="139" customFormat="false" ht="15" hidden="false" customHeight="true" outlineLevel="0" collapsed="false">
      <c r="A139" s="13" t="s">
        <v>324</v>
      </c>
      <c r="B139" s="13" t="s">
        <v>325</v>
      </c>
      <c r="C139" s="13" t="s">
        <v>293</v>
      </c>
      <c r="D139" s="13" t="s">
        <v>57</v>
      </c>
      <c r="E139" s="13" t="s">
        <v>54</v>
      </c>
      <c r="F139" s="14" t="n">
        <v>5790</v>
      </c>
      <c r="G139" s="14" t="n">
        <v>8640</v>
      </c>
      <c r="H139" s="13" t="n">
        <v>45</v>
      </c>
      <c r="I139" s="13" t="n">
        <v>5</v>
      </c>
      <c r="J139" s="13" t="n">
        <v>21</v>
      </c>
      <c r="K139" s="13" t="n">
        <v>6</v>
      </c>
      <c r="L139" s="13" t="n">
        <v>2</v>
      </c>
      <c r="M139" s="13" t="n">
        <v>2</v>
      </c>
      <c r="N139" s="13" t="n">
        <v>4</v>
      </c>
      <c r="O139" s="13" t="n">
        <v>4</v>
      </c>
      <c r="P139" s="13" t="n">
        <v>3</v>
      </c>
    </row>
    <row r="140" customFormat="false" ht="15" hidden="false" customHeight="true" outlineLevel="0" collapsed="false">
      <c r="A140" s="11" t="s">
        <v>326</v>
      </c>
      <c r="B140" s="11" t="s">
        <v>327</v>
      </c>
      <c r="C140" s="11" t="s">
        <v>293</v>
      </c>
      <c r="D140" s="11" t="s">
        <v>45</v>
      </c>
      <c r="E140" s="11" t="s">
        <v>34</v>
      </c>
      <c r="F140" s="12" t="n">
        <v>5270</v>
      </c>
      <c r="G140" s="12" t="n">
        <v>7510</v>
      </c>
      <c r="H140" s="11" t="n">
        <v>58</v>
      </c>
      <c r="I140" s="11" t="n">
        <v>20</v>
      </c>
      <c r="J140" s="11" t="n">
        <v>7</v>
      </c>
      <c r="K140" s="11" t="n">
        <v>20</v>
      </c>
      <c r="L140" s="11" t="n">
        <v>18</v>
      </c>
      <c r="M140" s="11" t="n">
        <v>9</v>
      </c>
      <c r="N140" s="11" t="n">
        <v>10</v>
      </c>
      <c r="O140" s="11" t="n">
        <v>16</v>
      </c>
      <c r="P140" s="11" t="n">
        <v>7</v>
      </c>
    </row>
    <row r="141" customFormat="false" ht="15" hidden="false" customHeight="true" outlineLevel="0" collapsed="false">
      <c r="A141" s="13" t="s">
        <v>328</v>
      </c>
      <c r="B141" s="13" t="s">
        <v>329</v>
      </c>
      <c r="C141" s="13" t="s">
        <v>293</v>
      </c>
      <c r="D141" s="13" t="s">
        <v>45</v>
      </c>
      <c r="E141" s="13" t="s">
        <v>38</v>
      </c>
      <c r="F141" s="14" t="n">
        <v>2670</v>
      </c>
      <c r="G141" s="14" t="n">
        <v>5540</v>
      </c>
      <c r="H141" s="13" t="n">
        <v>28</v>
      </c>
      <c r="I141" s="13" t="n">
        <v>18</v>
      </c>
      <c r="J141" s="13" t="n">
        <v>5</v>
      </c>
      <c r="K141" s="13" t="n">
        <v>9</v>
      </c>
      <c r="L141" s="13" t="n">
        <v>20</v>
      </c>
      <c r="M141" s="13" t="n">
        <v>15</v>
      </c>
      <c r="N141" s="13" t="n">
        <v>2</v>
      </c>
      <c r="O141" s="13" t="n">
        <v>15</v>
      </c>
      <c r="P141" s="13" t="n">
        <v>14</v>
      </c>
    </row>
    <row r="142" customFormat="false" ht="15" hidden="false" customHeight="true" outlineLevel="0" collapsed="false">
      <c r="A142" s="11" t="s">
        <v>330</v>
      </c>
      <c r="B142" s="11" t="s">
        <v>331</v>
      </c>
      <c r="C142" s="11" t="s">
        <v>293</v>
      </c>
      <c r="D142" s="11" t="s">
        <v>37</v>
      </c>
      <c r="E142" s="11" t="s">
        <v>42</v>
      </c>
      <c r="F142" s="12" t="n">
        <v>13900</v>
      </c>
      <c r="G142" s="12" t="n">
        <v>29940</v>
      </c>
      <c r="H142" s="11" t="n">
        <v>88</v>
      </c>
      <c r="I142" s="11" t="n">
        <v>21</v>
      </c>
      <c r="J142" s="11" t="n">
        <v>21</v>
      </c>
      <c r="K142" s="11" t="n">
        <v>13</v>
      </c>
      <c r="L142" s="11" t="n">
        <v>22</v>
      </c>
      <c r="M142" s="11" t="n">
        <v>15</v>
      </c>
      <c r="N142" s="11" t="n">
        <v>9</v>
      </c>
      <c r="O142" s="11" t="n">
        <v>9</v>
      </c>
      <c r="P142" s="11" t="n">
        <v>19</v>
      </c>
    </row>
    <row r="143" customFormat="false" ht="15" hidden="false" customHeight="true" outlineLevel="0" collapsed="false">
      <c r="A143" s="13" t="s">
        <v>332</v>
      </c>
      <c r="B143" s="13" t="s">
        <v>333</v>
      </c>
      <c r="C143" s="13" t="s">
        <v>293</v>
      </c>
      <c r="D143" s="13" t="s">
        <v>37</v>
      </c>
      <c r="E143" s="13" t="s">
        <v>42</v>
      </c>
      <c r="F143" s="14" t="n">
        <v>4270</v>
      </c>
      <c r="G143" s="14" t="n">
        <v>9100</v>
      </c>
      <c r="H143" s="13" t="n">
        <v>18</v>
      </c>
      <c r="I143" s="13" t="n">
        <v>54</v>
      </c>
      <c r="J143" s="13" t="n">
        <v>5</v>
      </c>
      <c r="K143" s="13" t="n">
        <v>37</v>
      </c>
      <c r="L143" s="13" t="n">
        <v>38</v>
      </c>
      <c r="M143" s="13" t="n">
        <v>34</v>
      </c>
      <c r="N143" s="13" t="n">
        <v>29</v>
      </c>
      <c r="O143" s="13" t="n">
        <v>40</v>
      </c>
      <c r="P143" s="13" t="n">
        <v>41</v>
      </c>
    </row>
    <row r="144" customFormat="false" ht="15" hidden="false" customHeight="true" outlineLevel="0" collapsed="false">
      <c r="A144" s="11" t="s">
        <v>334</v>
      </c>
      <c r="B144" s="11" t="s">
        <v>335</v>
      </c>
      <c r="C144" s="11" t="s">
        <v>293</v>
      </c>
      <c r="D144" s="11" t="s">
        <v>67</v>
      </c>
      <c r="E144" s="11" t="s">
        <v>54</v>
      </c>
      <c r="F144" s="12" t="n">
        <v>8230</v>
      </c>
      <c r="G144" s="12" t="n">
        <v>16500</v>
      </c>
      <c r="H144" s="11" t="n">
        <v>33</v>
      </c>
      <c r="I144" s="11" t="n">
        <v>5</v>
      </c>
      <c r="J144" s="11" t="n">
        <v>10</v>
      </c>
      <c r="K144" s="11" t="n">
        <v>4</v>
      </c>
      <c r="L144" s="11" t="n">
        <v>4</v>
      </c>
      <c r="M144" s="11" t="n">
        <v>4</v>
      </c>
      <c r="N144" s="11" t="n">
        <v>2</v>
      </c>
      <c r="O144" s="11" t="n">
        <v>6</v>
      </c>
      <c r="P144" s="11" t="n">
        <v>1</v>
      </c>
    </row>
    <row r="145" customFormat="false" ht="15" hidden="false" customHeight="true" outlineLevel="0" collapsed="false">
      <c r="A145" s="13" t="s">
        <v>336</v>
      </c>
      <c r="B145" s="13" t="s">
        <v>337</v>
      </c>
      <c r="C145" s="13" t="s">
        <v>293</v>
      </c>
      <c r="D145" s="13" t="s">
        <v>33</v>
      </c>
      <c r="E145" s="13" t="s">
        <v>54</v>
      </c>
      <c r="F145" s="14" t="n">
        <v>11320</v>
      </c>
      <c r="G145" s="14" t="n">
        <v>14740</v>
      </c>
      <c r="H145" s="13" t="n">
        <v>34</v>
      </c>
      <c r="I145" s="13" t="n">
        <v>7</v>
      </c>
      <c r="J145" s="13" t="n">
        <v>21</v>
      </c>
      <c r="K145" s="13" t="n">
        <v>4</v>
      </c>
      <c r="L145" s="13" t="n">
        <v>4</v>
      </c>
      <c r="M145" s="13" t="n">
        <v>1</v>
      </c>
      <c r="N145" s="13" t="n">
        <v>7</v>
      </c>
      <c r="O145" s="13" t="n">
        <v>6</v>
      </c>
      <c r="P145" s="13" t="n">
        <v>8</v>
      </c>
    </row>
    <row r="146" customFormat="false" ht="15" hidden="false" customHeight="true" outlineLevel="0" collapsed="false">
      <c r="A146" s="11" t="s">
        <v>338</v>
      </c>
      <c r="B146" s="11" t="s">
        <v>339</v>
      </c>
      <c r="C146" s="11" t="s">
        <v>293</v>
      </c>
      <c r="D146" s="11" t="s">
        <v>45</v>
      </c>
      <c r="E146" s="11" t="s">
        <v>48</v>
      </c>
      <c r="F146" s="12" t="n">
        <v>6710</v>
      </c>
      <c r="G146" s="12" t="n">
        <v>13070</v>
      </c>
      <c r="H146" s="11" t="n">
        <v>25</v>
      </c>
      <c r="I146" s="11" t="n">
        <v>23</v>
      </c>
      <c r="J146" s="11" t="n">
        <v>14</v>
      </c>
      <c r="K146" s="11" t="n">
        <v>19</v>
      </c>
      <c r="L146" s="11" t="n">
        <v>17</v>
      </c>
      <c r="M146" s="11" t="n">
        <v>4</v>
      </c>
      <c r="N146" s="11" t="n">
        <v>14</v>
      </c>
      <c r="O146" s="11" t="n">
        <v>18</v>
      </c>
      <c r="P146" s="11" t="n">
        <v>23</v>
      </c>
    </row>
    <row r="147" customFormat="false" ht="15" hidden="false" customHeight="true" outlineLevel="0" collapsed="false">
      <c r="A147" s="13" t="s">
        <v>340</v>
      </c>
      <c r="B147" s="13" t="s">
        <v>341</v>
      </c>
      <c r="C147" s="13" t="s">
        <v>293</v>
      </c>
      <c r="D147" s="13" t="s">
        <v>67</v>
      </c>
      <c r="E147" s="13" t="s">
        <v>54</v>
      </c>
      <c r="F147" s="14" t="n">
        <v>11780</v>
      </c>
      <c r="G147" s="14" t="n">
        <v>18610</v>
      </c>
      <c r="H147" s="13" t="n">
        <v>33</v>
      </c>
      <c r="I147" s="13" t="n">
        <v>59</v>
      </c>
      <c r="J147" s="13" t="n">
        <v>21</v>
      </c>
      <c r="K147" s="13" t="n">
        <v>32</v>
      </c>
      <c r="L147" s="13" t="n">
        <v>42</v>
      </c>
      <c r="M147" s="13" t="n">
        <v>36</v>
      </c>
      <c r="N147" s="13" t="n">
        <v>53</v>
      </c>
      <c r="O147" s="13" t="n">
        <v>39</v>
      </c>
      <c r="P147" s="13" t="n">
        <v>34</v>
      </c>
    </row>
    <row r="148" customFormat="false" ht="15" hidden="false" customHeight="true" outlineLevel="0" collapsed="false">
      <c r="A148" s="11" t="s">
        <v>342</v>
      </c>
      <c r="B148" s="11" t="s">
        <v>343</v>
      </c>
      <c r="C148" s="11" t="s">
        <v>293</v>
      </c>
      <c r="D148" s="11" t="s">
        <v>37</v>
      </c>
      <c r="E148" s="11" t="s">
        <v>38</v>
      </c>
      <c r="F148" s="12" t="n">
        <v>11600</v>
      </c>
      <c r="G148" s="12" t="n">
        <v>17640</v>
      </c>
      <c r="H148" s="11" t="n">
        <v>10</v>
      </c>
      <c r="I148" s="11" t="n">
        <v>60</v>
      </c>
      <c r="J148" s="11" t="n">
        <v>14</v>
      </c>
      <c r="K148" s="11" t="n">
        <v>35</v>
      </c>
      <c r="L148" s="11" t="n">
        <v>43</v>
      </c>
      <c r="M148" s="11" t="n">
        <v>31</v>
      </c>
      <c r="N148" s="11" t="n">
        <v>52</v>
      </c>
      <c r="O148" s="11" t="n">
        <v>54</v>
      </c>
      <c r="P148" s="11" t="n">
        <v>26</v>
      </c>
    </row>
    <row r="149" customFormat="false" ht="15" hidden="false" customHeight="true" outlineLevel="0" collapsed="false">
      <c r="A149" s="13" t="s">
        <v>344</v>
      </c>
      <c r="B149" s="13" t="s">
        <v>345</v>
      </c>
      <c r="C149" s="13" t="s">
        <v>293</v>
      </c>
      <c r="D149" s="13" t="s">
        <v>33</v>
      </c>
      <c r="E149" s="13" t="s">
        <v>38</v>
      </c>
      <c r="F149" s="14" t="n">
        <v>8320</v>
      </c>
      <c r="G149" s="14" t="n">
        <v>12600</v>
      </c>
      <c r="H149" s="13" t="n">
        <v>86</v>
      </c>
      <c r="I149" s="13" t="n">
        <v>27</v>
      </c>
      <c r="J149" s="13" t="n">
        <v>14</v>
      </c>
      <c r="K149" s="13" t="n">
        <v>30</v>
      </c>
      <c r="L149" s="13" t="n">
        <v>21</v>
      </c>
      <c r="M149" s="13" t="n">
        <v>14</v>
      </c>
      <c r="N149" s="13" t="n">
        <v>12</v>
      </c>
      <c r="O149" s="13" t="n">
        <v>24</v>
      </c>
      <c r="P149" s="13" t="n">
        <v>9</v>
      </c>
    </row>
    <row r="150" customFormat="false" ht="15" hidden="false" customHeight="true" outlineLevel="0" collapsed="false">
      <c r="A150" s="11" t="s">
        <v>346</v>
      </c>
      <c r="B150" s="11" t="s">
        <v>347</v>
      </c>
      <c r="C150" s="11" t="s">
        <v>293</v>
      </c>
      <c r="D150" s="11" t="s">
        <v>67</v>
      </c>
      <c r="E150" s="11" t="s">
        <v>42</v>
      </c>
      <c r="F150" s="12" t="n">
        <v>7380</v>
      </c>
      <c r="G150" s="12" t="n">
        <v>15260</v>
      </c>
      <c r="H150" s="11" t="n">
        <v>19</v>
      </c>
      <c r="I150" s="11" t="n">
        <v>59</v>
      </c>
      <c r="J150" s="11" t="n">
        <v>5</v>
      </c>
      <c r="K150" s="11" t="n">
        <v>42</v>
      </c>
      <c r="L150" s="11" t="n">
        <v>33</v>
      </c>
      <c r="M150" s="11" t="n">
        <v>36</v>
      </c>
      <c r="N150" s="11" t="n">
        <v>29</v>
      </c>
      <c r="O150" s="11" t="n">
        <v>43</v>
      </c>
      <c r="P150" s="11" t="n">
        <v>55</v>
      </c>
    </row>
    <row r="151" customFormat="false" ht="15" hidden="false" customHeight="true" outlineLevel="0" collapsed="false">
      <c r="A151" s="13" t="s">
        <v>348</v>
      </c>
      <c r="B151" s="13" t="s">
        <v>349</v>
      </c>
      <c r="C151" s="13" t="s">
        <v>293</v>
      </c>
      <c r="D151" s="13" t="s">
        <v>45</v>
      </c>
      <c r="E151" s="13" t="s">
        <v>42</v>
      </c>
      <c r="F151" s="14" t="n">
        <v>8090</v>
      </c>
      <c r="G151" s="14" t="n">
        <v>15450</v>
      </c>
      <c r="H151" s="13" t="n">
        <v>79</v>
      </c>
      <c r="I151" s="13" t="n">
        <v>20</v>
      </c>
      <c r="J151" s="13" t="n">
        <v>5</v>
      </c>
      <c r="K151" s="13" t="n">
        <v>16</v>
      </c>
      <c r="L151" s="13" t="n">
        <v>14</v>
      </c>
      <c r="M151" s="13" t="n">
        <v>10</v>
      </c>
      <c r="N151" s="13" t="n">
        <v>18</v>
      </c>
      <c r="O151" s="13" t="n">
        <v>14</v>
      </c>
      <c r="P151" s="13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2026-06-23T07:30:21Z</dcterms:created>
  <dc:creator>openpyxl</dc:creator>
  <dc:description/>
  <dc:language>en-US</dc:language>
  <cp:lastModifiedBy/>
  <dcterms:modified xsi:type="dcterms:W3CDTF">2026-06-27T16:20:13Z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